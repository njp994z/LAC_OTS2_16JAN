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fileSharing readOnlyRecommended="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80a5ba1e2e4016/01_PPT/__Projects/EXP_Op_Training/OTS_30OCT25/Eng Docs/"/>
    </mc:Choice>
  </mc:AlternateContent>
  <xr:revisionPtr revIDLastSave="15" documentId="8_{4F7D2875-EF24-4267-8837-3C41564F24A5}" xr6:coauthVersionLast="47" xr6:coauthVersionMax="47" xr10:uidLastSave="{860D3210-DFE7-415D-9E09-5880FB79250E}"/>
  <bookViews>
    <workbookView xWindow="-22150" yWindow="-10790" windowWidth="22240" windowHeight="20970" tabRatio="763" xr2:uid="{DD13AA2E-0DCF-C941-961C-44E3A691E09A}"/>
  </bookViews>
  <sheets>
    <sheet name="EQUIPMENT LIST" sheetId="40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\0">#REF!</definedName>
    <definedName name="\C">#REF!</definedName>
    <definedName name="\E">#REF!</definedName>
    <definedName name="\F">#REF!</definedName>
    <definedName name="\I">#REF!</definedName>
    <definedName name="\J">#REF!</definedName>
    <definedName name="\M">#REF!</definedName>
    <definedName name="\N">#REF!</definedName>
    <definedName name="\P">#REF!</definedName>
    <definedName name="\S">#REF!</definedName>
    <definedName name="\T">#REF!</definedName>
    <definedName name="\X">#REF!</definedName>
    <definedName name="\Z">#REF!</definedName>
    <definedName name="__________SIT1">#REF!</definedName>
    <definedName name="__________SIT2">#REF!</definedName>
    <definedName name="__________xx1">#REF!</definedName>
    <definedName name="__________xx2">#REF!</definedName>
    <definedName name="_________SIT1">#REF!</definedName>
    <definedName name="_________SIT2">#REF!</definedName>
    <definedName name="_________xx1">#REF!</definedName>
    <definedName name="_________xx2">#REF!</definedName>
    <definedName name="________SIT1">#REF!</definedName>
    <definedName name="________SIT2">#REF!</definedName>
    <definedName name="________xx1">#REF!</definedName>
    <definedName name="________xx2">#REF!</definedName>
    <definedName name="_______SIT1">#REF!</definedName>
    <definedName name="_______SIT2">#REF!</definedName>
    <definedName name="_______xx1">#REF!</definedName>
    <definedName name="_______xx2">#REF!</definedName>
    <definedName name="______SIT1">#REF!</definedName>
    <definedName name="______SIT2">#REF!</definedName>
    <definedName name="______xx1">#REF!</definedName>
    <definedName name="______xx2">#REF!</definedName>
    <definedName name="_____SIT1">#REF!</definedName>
    <definedName name="_____SIT2">#REF!</definedName>
    <definedName name="_____xx1">#REF!</definedName>
    <definedName name="_____xx2">#REF!</definedName>
    <definedName name="____SIT1">#REF!</definedName>
    <definedName name="____SIT2">#REF!</definedName>
    <definedName name="____xx1">#REF!</definedName>
    <definedName name="____xx2">#REF!</definedName>
    <definedName name="___SIT1">#REF!</definedName>
    <definedName name="___SIT2">#REF!</definedName>
    <definedName name="___xx1">#REF!</definedName>
    <definedName name="___xx2">#REF!</definedName>
    <definedName name="__SIT1">#REF!</definedName>
    <definedName name="__SIT2">#REF!</definedName>
    <definedName name="__xx1">#REF!</definedName>
    <definedName name="__xx2">#REF!</definedName>
    <definedName name="_APP1">#REF!</definedName>
    <definedName name="_APP2">#REF!</definedName>
    <definedName name="_APP3">#REF!</definedName>
    <definedName name="_APP4">#REF!</definedName>
    <definedName name="_BYE1">#REF!</definedName>
    <definedName name="_BYE2">#REF!</definedName>
    <definedName name="_BYE3">#REF!</definedName>
    <definedName name="_BYE4">#REF!</definedName>
    <definedName name="_CAL1">#REF!</definedName>
    <definedName name="_CAL2">#REF!</definedName>
    <definedName name="_CAL3">#REF!</definedName>
    <definedName name="_CAL4">#REF!</definedName>
    <definedName name="_CHK1">#REF!</definedName>
    <definedName name="_CHK2">#REF!</definedName>
    <definedName name="_CHK3">#REF!</definedName>
    <definedName name="_CHK4">#REF!</definedName>
    <definedName name="_DAT1">#REF!</definedName>
    <definedName name="_DAT2">#REF!</definedName>
    <definedName name="_DAT3">#REF!</definedName>
    <definedName name="_DAT4">#REF!</definedName>
    <definedName name="_DCS1">#REF!</definedName>
    <definedName name="_DCS2">#REF!</definedName>
    <definedName name="_doc_name">#REF!</definedName>
    <definedName name="_ELP1">#REF!</definedName>
    <definedName name="_ELP2">#REF!</definedName>
    <definedName name="_ELP3">#REF!</definedName>
    <definedName name="_ELP4">#REF!</definedName>
    <definedName name="_FDT1">#REF!</definedName>
    <definedName name="_FDT2">#REF!</definedName>
    <definedName name="_FDT3">#REF!</definedName>
    <definedName name="_FDT4">#REF!</definedName>
    <definedName name="_Fill" hidden="1">#REF!</definedName>
    <definedName name="_xlnm._FilterDatabase" localSheetId="0" hidden="1">'EQUIPMENT LIST'!$A$1:$U$188</definedName>
    <definedName name="_HMB2">#REF!</definedName>
    <definedName name="_IMP1">#REF!</definedName>
    <definedName name="_IMP2">#REF!</definedName>
    <definedName name="_IMP5">#REF!</definedName>
    <definedName name="_LIQ1">#REF!</definedName>
    <definedName name="_LIQ2">#REF!</definedName>
    <definedName name="_LIQ3">#REF!</definedName>
    <definedName name="_LIQ4">#REF!</definedName>
    <definedName name="_manufactr">#REF!</definedName>
    <definedName name="_model">#REF!</definedName>
    <definedName name="_ODP1">#REF!</definedName>
    <definedName name="_ODP2">#REF!</definedName>
    <definedName name="_ODP3">#REF!</definedName>
    <definedName name="_ODP4">#REF!</definedName>
    <definedName name="_of_sheet">#REF!</definedName>
    <definedName name="_Order1" hidden="1">255</definedName>
    <definedName name="_Order2" hidden="1">255</definedName>
    <definedName name="_p_order">#REF!</definedName>
    <definedName name="_Parse_Out" hidden="1">#REF!</definedName>
    <definedName name="_pid_no">#REF!</definedName>
    <definedName name="_ProjectDescript">#REF!</definedName>
    <definedName name="_RAT1">#REF!</definedName>
    <definedName name="_RAT2">#REF!</definedName>
    <definedName name="_RAT3">#REF!</definedName>
    <definedName name="_RAT4">#REF!</definedName>
    <definedName name="_req_no">#REF!</definedName>
    <definedName name="_REV1">#REF!</definedName>
    <definedName name="_REV2">#REF!</definedName>
    <definedName name="_REV3">#REF!</definedName>
    <definedName name="_REV4">#REF!</definedName>
    <definedName name="_service">#REF!</definedName>
    <definedName name="_sheet_no">#REF!</definedName>
    <definedName name="_SIT1">#REF!</definedName>
    <definedName name="_SIT2">#REF!</definedName>
    <definedName name="_tag_no">#REF!</definedName>
    <definedName name="_UPP1">#REF!</definedName>
    <definedName name="_UPP2">#REF!</definedName>
    <definedName name="_UPP3">#REF!</definedName>
    <definedName name="_UPP4">#REF!</definedName>
    <definedName name="_VIS1">#REF!</definedName>
    <definedName name="_VIS2">#REF!</definedName>
    <definedName name="_VIS3">#REF!</definedName>
    <definedName name="_VIS4">#REF!</definedName>
    <definedName name="_VP1">#REF!</definedName>
    <definedName name="_VP2">#REF!</definedName>
    <definedName name="_VP3">#REF!</definedName>
    <definedName name="_VP4">#REF!</definedName>
    <definedName name="_xx1">#REF!</definedName>
    <definedName name="_xx2">#REF!</definedName>
    <definedName name="a" hidden="1">{#N/A,#N/A,TRUE,"Sheet1";#N/A,#N/A,TRUE,"Sheet2";#N/A,#N/A,TRUE,"Sheet3"}</definedName>
    <definedName name="ABPOW1">#REF!</definedName>
    <definedName name="ABPOW2">#REF!</definedName>
    <definedName name="ABPOW3">#REF!</definedName>
    <definedName name="ABPOW4">#REF!</definedName>
    <definedName name="ABPOWR">#REF!</definedName>
    <definedName name="AccelerationTimeMotorAndLoad">[1]API613!#REF!</definedName>
    <definedName name="AccelerationTimeMotorAndLoad_UOM">[1]API613!#REF!</definedName>
    <definedName name="AccelerationTimeMotorOnly">[1]API613!#REF!</definedName>
    <definedName name="AccelerationTimeMotorOnly_UOM">[1]API613!#REF!</definedName>
    <definedName name="ACStatorResistance">[1]API613!#REF!</definedName>
    <definedName name="ACStatorResistance_UOM">[1]API613!#REF!</definedName>
    <definedName name="ACStatorResistanceAtTemperature">[1]API613!#REF!</definedName>
    <definedName name="ACStatorResistanceAtTemperature_UOM">[1]API613!#REF!</definedName>
    <definedName name="ACT">#REF!</definedName>
    <definedName name="All_Equipment">#REF!</definedName>
    <definedName name="AngFabLogFac">'[2]Phase 4 Cost Est'!#REF!</definedName>
    <definedName name="AngFabOH">'[2]Phase 4 Cost Est'!#REF!</definedName>
    <definedName name="AngFabOHFac">'[2]Phase 4 Cost Est'!#REF!</definedName>
    <definedName name="AngFabProdFac">'[2]Phase 4 Cost Est'!#REF!</definedName>
    <definedName name="AngFabRate">'[2]Phase 4 Cost Est'!#REF!</definedName>
    <definedName name="AngolanFabRate">'[2]Phase 4 Cost Est'!#REF!</definedName>
    <definedName name="AngolanFabRates">'[2]Phase 4 Cost Est'!#REF!</definedName>
    <definedName name="AngolanOH">'[2]Phase 4 Cost Est'!#REF!</definedName>
    <definedName name="angolantaxes">#REF!</definedName>
    <definedName name="ANPSH1">#REF!</definedName>
    <definedName name="ANPSH2">#REF!</definedName>
    <definedName name="ANPSH3">#REF!</definedName>
    <definedName name="ANPSH4">#REF!</definedName>
    <definedName name="ANPSHR">#REF!</definedName>
    <definedName name="AREA">#REF!</definedName>
    <definedName name="asfdsafkdjsaflkdakswjd" hidden="1">{#N/A,#N/A,TRUE,"Sheet1";#N/A,#N/A,TRUE,"Sheet2";#N/A,#N/A,TRUE,"Sheet3"}</definedName>
    <definedName name="AucPer">'[2]Phase 4 Cost Est'!#REF!</definedName>
    <definedName name="AverageMolecularWeigth">[1]API613!#REF!</definedName>
    <definedName name="b" hidden="1">{#N/A,#N/A,TRUE,"COVERSHEET";#N/A,#N/A,TRUE,"LEGEND";#N/A,#N/A,TRUE,"LIST"}</definedName>
    <definedName name="BaseplatesAndSoleplatesTypeGrout">[1]API613!#REF!</definedName>
    <definedName name="BaseplatesAndSoleplatesTypePrecoat">[1]API613!#REF!</definedName>
    <definedName name="BearingHousingConstruction">[1]API613!#REF!</definedName>
    <definedName name="BearingHousingMaterial">[1]API613!#REF!</definedName>
    <definedName name="BearingTemperatureDeviceAlarmSetAt">[1]API613!#REF!</definedName>
    <definedName name="BearingTemperatureDeviceAlarmSetAt_UOM">[1]API613!#REF!</definedName>
    <definedName name="BearingTemperatureDeviceDescription">[1]API613!#REF!</definedName>
    <definedName name="BearingTemperatureDeviceLocation">[1]API613!#REF!</definedName>
    <definedName name="BearingTemperatureDeviceShutdownSetAt">[1]API613!#REF!</definedName>
    <definedName name="BearingTemperatureDeviceShutdownSetAt_UOM">[1]API613!#REF!</definedName>
    <definedName name="BearingTemperatureDeviceSpaceHeaterHertz">[1]API613!#REF!</definedName>
    <definedName name="BearingTemperatureDeviceSpaceHeaterMaximumSheathTemperature">[1]API613!#REF!</definedName>
    <definedName name="BearingTemperatureDeviceSpaceHeaterMaximumSheathTemperature_UOM">[1]API613!#REF!</definedName>
    <definedName name="BearingTemperatureDeviceSpaceHeaterPhase">[1]API613!#REF!</definedName>
    <definedName name="BearingTemperatureDeviceSpaceHeaterPower">[1]API613!#REF!</definedName>
    <definedName name="BearingTemperatureDeviceSpaceHeaterPower_UOM">[1]API613!#REF!</definedName>
    <definedName name="BearingTemperatureDeviceSpaceHeaterVoltage">[1]API613!#REF!</definedName>
    <definedName name="BearingTypes">[1]API613!#REF!</definedName>
    <definedName name="BladeCoatingType">[1]API613!#REF!</definedName>
    <definedName name="BladeHubConstruction">[1]API613!#REF!</definedName>
    <definedName name="BladeHubMaterial">[1]API613!#REF!</definedName>
    <definedName name="BladeMaterial">[1]API613!#REF!</definedName>
    <definedName name="BladeWearPlates">[1]API613!#REF!</definedName>
    <definedName name="BlaseWearPlateMaterial">[1]API613!#REF!</definedName>
    <definedName name="BS">#REF!</definedName>
    <definedName name="ButtonSp_Click">[3]!ButtonSp_Click</definedName>
    <definedName name="C_">#REF!</definedName>
    <definedName name="CAL">#REF!</definedName>
    <definedName name="calc.Orifaga">[4]!calc.Orifaga</definedName>
    <definedName name="calc.RKCompress">[4]!calc.RKCompress</definedName>
    <definedName name="calc.Round16down">[4]!calc.Round16down</definedName>
    <definedName name="calc.Round16up">[4]!calc.Round16up</definedName>
    <definedName name="CALC2A">#REF!</definedName>
    <definedName name="CALC2B">#REF!</definedName>
    <definedName name="CALC2C">#REF!</definedName>
    <definedName name="CALC3A">#REF!</definedName>
    <definedName name="CALC3B">#REF!</definedName>
    <definedName name="CALC3C">#REF!</definedName>
    <definedName name="CALC4A">#REF!</definedName>
    <definedName name="CALC4B">#REF!</definedName>
    <definedName name="CALC4C">#REF!</definedName>
    <definedName name="CALCP1">#REF!</definedName>
    <definedName name="CALCP2">#REF!</definedName>
    <definedName name="CALCP3">#REF!</definedName>
    <definedName name="CALCR1">#REF!</definedName>
    <definedName name="CALCR2">#REF!</definedName>
    <definedName name="CASE1D">#REF!</definedName>
    <definedName name="CASE1U">#REF!</definedName>
    <definedName name="CASE2D">#REF!</definedName>
    <definedName name="CASE2U">#REF!</definedName>
    <definedName name="CASE3D">#REF!</definedName>
    <definedName name="CASE3U">#REF!</definedName>
    <definedName name="CASE4D">#REF!</definedName>
    <definedName name="CASE4U">#REF!</definedName>
    <definedName name="CASENO">#REF!</definedName>
    <definedName name="CASENUM">#REF!</definedName>
    <definedName name="CASEQ">#REF!</definedName>
    <definedName name="ccc" hidden="1">{#N/A,#N/A,TRUE,"Sheet1";#N/A,#N/A,TRUE,"Sheet2";#N/A,#N/A,TRUE,"Sheet3"}</definedName>
    <definedName name="CentrifugalPump">#REF!</definedName>
    <definedName name="CHCOPY">#REF!</definedName>
    <definedName name="CHECK">#REF!</definedName>
    <definedName name="CLEANUP">#REF!</definedName>
    <definedName name="Client">[1]API613!#REF!</definedName>
    <definedName name="CNAME1">#REF!</definedName>
    <definedName name="CNAME2">#REF!</definedName>
    <definedName name="CNAME3">#REF!</definedName>
    <definedName name="CNAME4">#REF!</definedName>
    <definedName name="Co">[5]Basic!$E$3</definedName>
    <definedName name="Code">#REF!</definedName>
    <definedName name="Code1">'[6]D Platform'!$B$5:$B$824</definedName>
    <definedName name="CodeHPP">#REF!</definedName>
    <definedName name="CodeHPP1">#REF!</definedName>
    <definedName name="CODP1">#REF!</definedName>
    <definedName name="CODP2">#REF!</definedName>
    <definedName name="CODP3">#REF!</definedName>
    <definedName name="CODP4">#REF!</definedName>
    <definedName name="CODPR">#REF!</definedName>
    <definedName name="CompleteUnitHeight">[1]API613!#REF!</definedName>
    <definedName name="CompleteUnitHeight_UOM">[1]API613!#REF!</definedName>
    <definedName name="CompleteUnitLength">[1]API613!#REF!</definedName>
    <definedName name="CompleteUnitLength_UOM">[1]API613!#REF!</definedName>
    <definedName name="CompleteUnitWidth">[1]API613!#REF!</definedName>
    <definedName name="CompleteUnitWidth_UOM">[1]API613!#REF!</definedName>
    <definedName name="CON">#REF!</definedName>
    <definedName name="CONTRACT">#REF!</definedName>
    <definedName name="Controls_Equipment">#REF!</definedName>
    <definedName name="Controls_Equipment1">#REF!</definedName>
    <definedName name="Controls_Equipment2">#REF!</definedName>
    <definedName name="CORRC">#REF!</definedName>
    <definedName name="country">[5]Basic!$E$5</definedName>
    <definedName name="CouplingManufacturer">[1]API613!#REF!</definedName>
    <definedName name="CouplingModel">[1]API613!#REF!</definedName>
    <definedName name="CouplingSuppliedBy">[1]API613!#REF!</definedName>
    <definedName name="CPI">#REF!</definedName>
    <definedName name="_xlnm.Criteria">'[7]Line List H03'!#REF!</definedName>
    <definedName name="CTForAmmeterMountedBy">[1]API613!#REF!</definedName>
    <definedName name="CTR_Version">#REF!</definedName>
    <definedName name="CTsForDiffProtectMountedBy">[1]API613!#REF!</definedName>
    <definedName name="CurrentData">#REF!</definedName>
    <definedName name="CVDP1">#REF!</definedName>
    <definedName name="CVDP2">#REF!</definedName>
    <definedName name="CVDP3">#REF!</definedName>
    <definedName name="CVDP4">#REF!</definedName>
    <definedName name="CVDPR">#REF!</definedName>
    <definedName name="d" hidden="1">{#N/A,#N/A,TRUE,"Sheet1";#N/A,#N/A,TRUE,"Sheet2";#N/A,#N/A,TRUE,"Sheet3"}</definedName>
    <definedName name="DATA">#REF!</definedName>
    <definedName name="DATA1D">#REF!</definedName>
    <definedName name="DATA1U">#REF!</definedName>
    <definedName name="DATA2D">#REF!</definedName>
    <definedName name="DATA2U">#REF!</definedName>
    <definedName name="DATA3D">#REF!</definedName>
    <definedName name="DATA3U">#REF!</definedName>
    <definedName name="DATA4D">#REF!</definedName>
    <definedName name="DATA4U">#REF!</definedName>
    <definedName name="DATE">#REF!</definedName>
    <definedName name="DCCASE1">#REF!</definedName>
    <definedName name="DCCASE2">#REF!</definedName>
    <definedName name="DCDATA1">#REF!</definedName>
    <definedName name="DCDATA2">#REF!</definedName>
    <definedName name="DCDOWN">#REF!</definedName>
    <definedName name="DCEND">#REF!</definedName>
    <definedName name="DCF">#REF!</definedName>
    <definedName name="DCFILE1">#REF!</definedName>
    <definedName name="DCFILE2">#REF!</definedName>
    <definedName name="DCFNO1">#REF!</definedName>
    <definedName name="DCFNO2">#REF!</definedName>
    <definedName name="DCSNO1">#REF!</definedName>
    <definedName name="DCSNO2">#REF!</definedName>
    <definedName name="DCSTRM1">#REF!</definedName>
    <definedName name="DCSTRM2">#REF!</definedName>
    <definedName name="DCUP">#REF!</definedName>
    <definedName name="DELPS">#REF!</definedName>
    <definedName name="DENS1">#REF!</definedName>
    <definedName name="DENS2">#REF!</definedName>
    <definedName name="DENS3">#REF!</definedName>
    <definedName name="DENS4">#REF!</definedName>
    <definedName name="DENSR">#REF!</definedName>
    <definedName name="DFDP1">#REF!</definedName>
    <definedName name="DFDP2">#REF!</definedName>
    <definedName name="DFDP3">#REF!</definedName>
    <definedName name="DFDP4">#REF!</definedName>
    <definedName name="DFDPR">#REF!</definedName>
    <definedName name="DISP1">#REF!</definedName>
    <definedName name="DISP2">#REF!</definedName>
    <definedName name="DISP3">#REF!</definedName>
    <definedName name="DISP4">#REF!</definedName>
    <definedName name="DISPR">#REF!</definedName>
    <definedName name="DOCNO">#REF!</definedName>
    <definedName name="DoubleWallEnclosure">[1]API613!#REF!</definedName>
    <definedName name="DOWNP1">#REF!</definedName>
    <definedName name="DOWNP2">#REF!</definedName>
    <definedName name="DOWNP3">#REF!</definedName>
    <definedName name="DOWNP4">#REF!</definedName>
    <definedName name="DOWNPR">#REF!</definedName>
    <definedName name="DRIVE">#REF!</definedName>
    <definedName name="DRIVER">#REF!</definedName>
    <definedName name="DriverBaseWeight">[1]API613!#REF!</definedName>
    <definedName name="DriverBaseWeight_UOM">[1]API613!#REF!</definedName>
    <definedName name="DriverFanManufaturer">[1]API613!#REF!</definedName>
    <definedName name="DriverFanModel">[1]API613!#REF!</definedName>
    <definedName name="DriverGearManufaturer">[1]API613!#REF!</definedName>
    <definedName name="DriverGearModel">[1]API613!#REF!</definedName>
    <definedName name="DriverManufacturer">[1]API613!#REF!</definedName>
    <definedName name="DriverRatedHP">[1]API613!#REF!</definedName>
    <definedName name="DriverType">[1]API613!#REF!</definedName>
    <definedName name="DriverWeight">[1]API613!#REF!</definedName>
    <definedName name="DriverWeight_UOM">[1]API613!#REF!</definedName>
    <definedName name="DsNo">'[8]Data Input'!$D$7</definedName>
    <definedName name="DSTHD">#REF!</definedName>
    <definedName name="DSTHD1">#REF!</definedName>
    <definedName name="DSTHD2">#REF!</definedName>
    <definedName name="DSTHD3">#REF!</definedName>
    <definedName name="DSTHD4">#REF!</definedName>
    <definedName name="DSTHDR">#REF!</definedName>
    <definedName name="E">{#N/A,#N/A,TRUE,"Sheet1";#N/A,#N/A,TRUE,"Sheet2";#N/A,#N/A,TRUE,"Sheet3"}</definedName>
    <definedName name="E_101">#REF!</definedName>
    <definedName name="E_111">#REF!</definedName>
    <definedName name="EDG_CAD_FILE_NO">#REF!</definedName>
    <definedName name="EDG_CLIENT">#REF!</definedName>
    <definedName name="EDG_DOCUMENT_TYPE">#REF!</definedName>
    <definedName name="EDG_DWG_NO">#REF!</definedName>
    <definedName name="EDG_DWG_TITLE">#REF!</definedName>
    <definedName name="EDG_HEADER_NOTE01">#REF!</definedName>
    <definedName name="EDG_HEADER_NOTE02">#REF!</definedName>
    <definedName name="EDG_HEADER_NOTE03">#REF!</definedName>
    <definedName name="EDG_INCORPORATED">#REF!</definedName>
    <definedName name="EDG_LOCATION">#REF!</definedName>
    <definedName name="EDG_ORIGINAL_ISSUE">#REF!</definedName>
    <definedName name="EDG_PRINT_RANGE">#REF!</definedName>
    <definedName name="EDG_PROJECT_NO">#REF!</definedName>
    <definedName name="EDG_REV_DATE">#REF!</definedName>
    <definedName name="EDG_REV_NO">#REF!</definedName>
    <definedName name="ElectricalAreaClassificationClass">[1]API613!#REF!</definedName>
    <definedName name="ElectricalAreaClassificationDivision">[1]API613!#REF!</definedName>
    <definedName name="ElectricalAreaClassificationGroup">[1]API613!#REF!</definedName>
    <definedName name="ElectricModel">[1]API613!#REF!</definedName>
    <definedName name="ElectricMotorManufacturer">[1]API613!#REF!</definedName>
    <definedName name="ELPR">#REF!</definedName>
    <definedName name="EmergencyLubeOilPump">[1]API613!#REF!</definedName>
    <definedName name="EnclosureClass">[1]API613!#REF!</definedName>
    <definedName name="EnclosureGroup">[1]API613!#REF!</definedName>
    <definedName name="EnclosureOther">[1]API613!#REF!</definedName>
    <definedName name="EnclosureType">[1]API613!#REF!</definedName>
    <definedName name="EnclosureWaterAllow">[1]API613!#REF!</definedName>
    <definedName name="EnclosureWaterSideMin">[1]API613!#REF!</definedName>
    <definedName name="EnclosureWaterSupply">[1]API613!#REF!</definedName>
    <definedName name="ENTETE">#REF!</definedName>
    <definedName name="EQDP1">#REF!</definedName>
    <definedName name="EQDP2">#REF!</definedName>
    <definedName name="EQDP3">#REF!</definedName>
    <definedName name="EQDP4">#REF!</definedName>
    <definedName name="EQDPR">#REF!</definedName>
    <definedName name="EQUIP1">#REF!</definedName>
    <definedName name="EQUIP2">#REF!</definedName>
    <definedName name="Equipcost">#REF!</definedName>
    <definedName name="EQUIPNO">#REF!</definedName>
    <definedName name="ERASE1">#REF!</definedName>
    <definedName name="ERASE2">#REF!</definedName>
    <definedName name="ERASE3">#REF!</definedName>
    <definedName name="ERASE4">#REF!</definedName>
    <definedName name="ExcitationFieldAmpsAtFullLoadAndRatedPF">[1]API613!#REF!</definedName>
    <definedName name="ExcitationFieldAmpsAtMaximum">[1]API613!#REF!</definedName>
    <definedName name="ExcitationFieldAmpsAtMinimum">[1]API613!#REF!</definedName>
    <definedName name="ExcitationFieldSuppliedBy">[1]API613!#REF!</definedName>
    <definedName name="EXDP1">#REF!</definedName>
    <definedName name="EXDP2">#REF!</definedName>
    <definedName name="EXDP3">#REF!</definedName>
    <definedName name="EXDP4">#REF!</definedName>
    <definedName name="EXDPR">#REF!</definedName>
    <definedName name="f" hidden="1">{#N/A,#N/A,TRUE,"Sheet1";#N/A,#N/A,TRUE,"Sheet2";#N/A,#N/A,TRUE,"Sheet3"}</definedName>
    <definedName name="F_101">#REF!</definedName>
    <definedName name="F_102">#REF!</definedName>
    <definedName name="FanCleaningSystemFurnishedBy">[1]API613!#REF!</definedName>
    <definedName name="FanCleaningSystemInstalledBy">[1]API613!#REF!</definedName>
    <definedName name="FanCleaningSystemManufacturer">[1]API613!#REF!</definedName>
    <definedName name="FanCleaningSystemRequired">[1]API613!#REF!</definedName>
    <definedName name="FanManufacturer">[1]API613!#REF!</definedName>
    <definedName name="FanMotorShutdown">[1]API613!#REF!</definedName>
    <definedName name="FanMotorTrip">[1]API613!#REF!</definedName>
    <definedName name="FanSize">[1]API613!#REF!</definedName>
    <definedName name="FanTypeArrangment">[1]API613!#REF!</definedName>
    <definedName name="FanWeight">[1]API613!#REF!</definedName>
    <definedName name="FanWeight_UOM">[1]API613!#REF!</definedName>
    <definedName name="feild_name">[5]Basic!$E$7</definedName>
    <definedName name="FieldDischargeResistor">[1]API613!#REF!</definedName>
    <definedName name="FILENAME">#REF!</definedName>
    <definedName name="FIND_MATERIALS">#REF!</definedName>
    <definedName name="FireCrew">'[2]Phase 4 Cost Est'!#REF!</definedName>
    <definedName name="FIRST">#REF!</definedName>
    <definedName name="Flowline_Systems">#REF!</definedName>
    <definedName name="Flowline_Systems1">'[9]Building Blocks'!$A$8:$A$14</definedName>
    <definedName name="Flowline_Systems2">#REF!</definedName>
    <definedName name="Flowline_Systems3">'[9]Building Blocks'!$A$8:$A$14</definedName>
    <definedName name="Flowrates">#REF!</definedName>
    <definedName name="FOOTER">#REF!</definedName>
    <definedName name="For">'[8]Data Input'!$G$3</definedName>
    <definedName name="Forecast">#REF!</definedName>
    <definedName name="Forecast1">#REF!</definedName>
    <definedName name="Forecast2">#REF!</definedName>
    <definedName name="FRPReducer">'[10]RP 14E Table'!$A$34:$O$49</definedName>
    <definedName name="FullLoadEfficiency">[1]API613!#REF!</definedName>
    <definedName name="FullLoadPowerFactor">[1]API613!#REF!</definedName>
    <definedName name="FullLoadRatedVoltage">[1]API613!#REF!</definedName>
    <definedName name="FullLoadRPM">[1]API613!#REF!</definedName>
    <definedName name="FullLoadTorque">[1]API613!#REF!</definedName>
    <definedName name="FullLoadTorque_UOM">[1]API613!#REF!</definedName>
    <definedName name="FullStartingVoltage">[1]API613!#REF!</definedName>
    <definedName name="Furnace">#REF!</definedName>
    <definedName name="g" hidden="1">{#N/A,#N/A,TRUE,"Sheet1";#N/A,#N/A,TRUE,"Sheet2";#N/A,#N/A,TRUE,"Sheet3"}</definedName>
    <definedName name="Gas_Lift">#REF!</definedName>
    <definedName name="Gas_Lift1">#REF!</definedName>
    <definedName name="Gas_Lift2">#REF!</definedName>
    <definedName name="GC">#REF!</definedName>
    <definedName name="GearFanManufaturer">[1]API613!#REF!</definedName>
    <definedName name="GearFanModel">[1]API613!#REF!</definedName>
    <definedName name="GETCASE">#REF!</definedName>
    <definedName name="GETCN">#REF!</definedName>
    <definedName name="GrandTotal">#REF!</definedName>
    <definedName name="h" hidden="1">{#N/A,#N/A,TRUE,"Sheet1";#N/A,#N/A,TRUE,"Sheet2";#N/A,#N/A,TRUE,"Sheet3"}</definedName>
    <definedName name="HEAT">#REF!</definedName>
    <definedName name="HeatExchanger">#REF!</definedName>
    <definedName name="HousingConstruction">[1]API613!#REF!</definedName>
    <definedName name="HousingInsulationDrainType">[1]API613!#REF!</definedName>
    <definedName name="HousingInsulationRequired">[1]API613!#REF!</definedName>
    <definedName name="HousingInsulationStudsBy">[1]API613!#REF!</definedName>
    <definedName name="HousingInsulationThickness">[1]API613!#REF!</definedName>
    <definedName name="HousingInsulationThickness_UOM">[1]API613!#REF!</definedName>
    <definedName name="HousingInsulationType">[1]API613!#REF!</definedName>
    <definedName name="HousingMaterial">[1]API613!#REF!</definedName>
    <definedName name="HrsDayVar">'[2]Phase 4 Cost Est'!#REF!</definedName>
    <definedName name="Hull_and_Mooring">#REF!</definedName>
    <definedName name="Hull_and_Mooring1">'[9]Building Blocks'!$A$57:$A$60</definedName>
    <definedName name="Hull_and_Mooring2">#REF!</definedName>
    <definedName name="Hull_and_Mooring3">'[9]Building Blocks'!$A$57:$A$60</definedName>
    <definedName name="HYDP1">#REF!</definedName>
    <definedName name="HYDP2">#REF!</definedName>
    <definedName name="HYDP3">#REF!</definedName>
    <definedName name="HYDP4">#REF!</definedName>
    <definedName name="HYDPR">#REF!</definedName>
    <definedName name="i" hidden="1">{#N/A,#N/A,TRUE,"Sheet1";#N/A,#N/A,TRUE,"Sheet2";#N/A,#N/A,TRUE,"Sheet3"}</definedName>
    <definedName name="IMP0">#REF!</definedName>
    <definedName name="IMPC1D">#REF!</definedName>
    <definedName name="IMPC1U">#REF!</definedName>
    <definedName name="IMPC2D">#REF!</definedName>
    <definedName name="IMPC2U">#REF!</definedName>
    <definedName name="IMPC3D">#REF!</definedName>
    <definedName name="IMPC3U">#REF!</definedName>
    <definedName name="IMPC4D">#REF!</definedName>
    <definedName name="IMPC4U">#REF!</definedName>
    <definedName name="IMPEND">#REF!</definedName>
    <definedName name="IMPMENU">#REF!</definedName>
    <definedName name="INDP">#REF!</definedName>
    <definedName name="Infield_Stepout">#REF!</definedName>
    <definedName name="Infield_Stepout1">'[9]Building Blocks'!$A$44:$A$49</definedName>
    <definedName name="Infield_Stepout2">#REF!</definedName>
    <definedName name="Infield_Stepout3">'[9]Building Blocks'!$A$44:$A$49</definedName>
    <definedName name="InstrIndxTbl">#REF!</definedName>
    <definedName name="InsulationClass">[1]API613!#REF!</definedName>
    <definedName name="InsulationType">[1]API613!#REF!</definedName>
    <definedName name="iopljhklj">'[11]2003 P90 Prod'!$K$41:$K$441,'[11]2003 P90 Prod'!$A$41:$A$441</definedName>
    <definedName name="ItemName">'[8]Data Input'!$G$11</definedName>
    <definedName name="ItemNo">'[8]Data Input'!$D$5</definedName>
    <definedName name="j" hidden="1">{#N/A,#N/A,TRUE,"Sheet1";#N/A,#N/A,TRUE,"Sheet2";#N/A,#N/A,TRUE,"Sheet3"}</definedName>
    <definedName name="JOB">#REF!</definedName>
    <definedName name="JobNo">'[8]Data Input'!$D$3</definedName>
    <definedName name="JU" hidden="1">{#N/A,#N/A,TRUE,"Sheet1";#N/A,#N/A,TRUE,"Sheet2";#N/A,#N/A,TRUE,"Sheet3"}</definedName>
    <definedName name="JUNK" hidden="1">{#N/A,#N/A,TRUE,"Sheet1";#N/A,#N/A,TRUE,"Sheet2";#N/A,#N/A,TRUE,"Sheet3"}</definedName>
    <definedName name="Junk1" hidden="1">{#N/A,#N/A,TRUE,"Sheet1";#N/A,#N/A,TRUE,"Sheet2";#N/A,#N/A,TRUE,"Sheet3"}</definedName>
    <definedName name="k">'[12]2003 P90 Prod'!$K$41:$K$441,'[12]2003 P90 Prod'!$A$41:$A$441</definedName>
    <definedName name="km_to_mi">0.62137119223733</definedName>
    <definedName name="kVAInrushAt95PercentSpeed">[1]API613!#REF!</definedName>
    <definedName name="kVAInrushAt95PercentSpeed_UOM">[1]API613!#REF!</definedName>
    <definedName name="kVAInrushAtFullVoltageAndLockRotor">[1]API613!#REF!</definedName>
    <definedName name="kVAInrushAtFullVoltageAndLockRotor_UOM">[1]API613!#REF!</definedName>
    <definedName name="KWRequiredForDCExcitation">[1]API613!#REF!</definedName>
    <definedName name="LH_Topsides">#REF!</definedName>
    <definedName name="LH_Topsides1">#REF!</definedName>
    <definedName name="LH_Topsides2">#REF!</definedName>
    <definedName name="LightningArrestersMountedBy">[1]API613!#REF!</definedName>
    <definedName name="LINE_LIST">#REF!</definedName>
    <definedName name="LIQR">#REF!</definedName>
    <definedName name="LocalControlPanelOptions">[1]API613!#REF!</definedName>
    <definedName name="LockedRotorColdStartTime">[1]API613!#REF!</definedName>
    <definedName name="LockedRotorRatedVoltage">[1]API613!#REF!</definedName>
    <definedName name="LockedRotorTorque">[1]API613!#REF!</definedName>
    <definedName name="LockedRotorTorque_UOM">[1]API613!#REF!</definedName>
    <definedName name="LockRotorPowerFactor">[1]API613!#REF!</definedName>
    <definedName name="LRL">#REF!</definedName>
    <definedName name="LubeOilSystemStandbyPumpControl">[1]API613!#REF!</definedName>
    <definedName name="m_to_ft">3.280839895</definedName>
    <definedName name="MACRO">#REF!</definedName>
    <definedName name="MACROS">#REF!</definedName>
    <definedName name="MaimumLineCurrentInStatorOnFirstSlipCycleAtPullOut">[1]API613!#REF!</definedName>
    <definedName name="Main_8">#REF!</definedName>
    <definedName name="MainConduitBoxSizedForMainMotorLeadsType">[1]API613!#REF!</definedName>
    <definedName name="MainConnectionsInletNumber">[1]API613!#REF!</definedName>
    <definedName name="MainConnectionsInletSize">[1]API613!#REF!</definedName>
    <definedName name="MainConnectionsInletSize_UOM">[1]API613!#REF!</definedName>
    <definedName name="MainConnectionsLocationOrientation">[1]API613!#REF!</definedName>
    <definedName name="MainPumpManufacturer">[1]API613!#REF!</definedName>
    <definedName name="MainPumpModel">[1]API613!#REF!</definedName>
    <definedName name="MainPumpMotorDriven">[1]API613!#REF!</definedName>
    <definedName name="Manifold">#REF!</definedName>
    <definedName name="Manifold1">#REF!</definedName>
    <definedName name="Manifold2">#REF!</definedName>
    <definedName name="Manufacturer">[1]API613!#REF!</definedName>
    <definedName name="MARGDP1">#REF!</definedName>
    <definedName name="MARGDP2">#REF!</definedName>
    <definedName name="MARGDP3">#REF!</definedName>
    <definedName name="MARGDP4">#REF!</definedName>
    <definedName name="MARGDPR">#REF!</definedName>
    <definedName name="MARGIN1">#REF!</definedName>
    <definedName name="MARGIN2">#REF!</definedName>
    <definedName name="MARGIN3">#REF!</definedName>
    <definedName name="MARGIN4">#REF!</definedName>
    <definedName name="MARGINR">#REF!</definedName>
    <definedName name="MAXDNP">#REF!</definedName>
    <definedName name="MAXDNT">#REF!</definedName>
    <definedName name="MAXSP1">#REF!</definedName>
    <definedName name="MAXSP2">#REF!</definedName>
    <definedName name="MAXSP3">#REF!</definedName>
    <definedName name="MAXSP4">#REF!</definedName>
    <definedName name="MAXSPR">#REF!</definedName>
    <definedName name="MAXUPP">#REF!</definedName>
    <definedName name="MAXUPT">#REF!</definedName>
    <definedName name="MENU1">#REF!</definedName>
    <definedName name="METDP1">#REF!</definedName>
    <definedName name="METDP2">#REF!</definedName>
    <definedName name="METDP3">#REF!</definedName>
    <definedName name="METDP4">#REF!</definedName>
    <definedName name="METDPR">#REF!</definedName>
    <definedName name="mi_to_ft">5280</definedName>
    <definedName name="miguel">[13]Basic!$E$7</definedName>
    <definedName name="MINDNT">#REF!</definedName>
    <definedName name="MINUPT">#REF!</definedName>
    <definedName name="Misc">#REF!</definedName>
    <definedName name="MiscellaneousFanBaseConnections">[1]API613!#REF!</definedName>
    <definedName name="MISDP1">#REF!</definedName>
    <definedName name="MISDP2">#REF!</definedName>
    <definedName name="MISDP3">#REF!</definedName>
    <definedName name="MISDP4">#REF!</definedName>
    <definedName name="MISDPR">#REF!</definedName>
    <definedName name="mm">[13]Basic!$E$3</definedName>
    <definedName name="mm_to_inch">0.0393700787</definedName>
    <definedName name="Model_443">#REF!</definedName>
    <definedName name="Model_453">#REF!</definedName>
    <definedName name="MotorExcitiation">[1]API613!#REF!</definedName>
    <definedName name="MotorHertz">[1]API613!#REF!</definedName>
    <definedName name="MotorHub">[1]API613!#REF!</definedName>
    <definedName name="MotorPhase">[1]API613!#REF!</definedName>
    <definedName name="MotorRotor">[1]API613!#REF!</definedName>
    <definedName name="MotorType">[1]API613!#REF!</definedName>
    <definedName name="MotorVolts">[1]API613!#REF!</definedName>
    <definedName name="NameplatePower">[1]API613!#REF!</definedName>
    <definedName name="NameplatePower_UOM">[1]API613!#REF!</definedName>
    <definedName name="NEMADesign">[1]API613!#REF!</definedName>
    <definedName name="NETP1">#REF!</definedName>
    <definedName name="NETP2">#REF!</definedName>
    <definedName name="NETP3">#REF!</definedName>
    <definedName name="NETP4">#REF!</definedName>
    <definedName name="NETPR">#REF!</definedName>
    <definedName name="new" hidden="1">{#N/A,#N/A,TRUE,"COVERSHEET";#N/A,#N/A,TRUE,"LEGEND";#N/A,#N/A,TRUE,"LIST"}</definedName>
    <definedName name="NoiseAttenuationFurnishedBy">[1]API613!#REF!</definedName>
    <definedName name="NoiseAttenuationSilencerManufacturerAndModel">[1]API613!#REF!</definedName>
    <definedName name="NOTE">#REF!</definedName>
    <definedName name="NOTE0">#REF!</definedName>
    <definedName name="NOTE1">#REF!</definedName>
    <definedName name="NOTE4">#REF!</definedName>
    <definedName name="note5">#REF!</definedName>
    <definedName name="NOTES">#REF!</definedName>
    <definedName name="NOTESPC">#REF!</definedName>
    <definedName name="NPSHAV1">#REF!</definedName>
    <definedName name="NPSHAV2">#REF!</definedName>
    <definedName name="NPSHAV3">#REF!</definedName>
    <definedName name="NPSHAV4">#REF!</definedName>
    <definedName name="NPSHAVR">#REF!</definedName>
    <definedName name="NTMENU">#REF!</definedName>
    <definedName name="NumberOfStartsPerHour">[1]API613!#REF!</definedName>
    <definedName name="NumberRequired">[1]API613!#REF!</definedName>
    <definedName name="OC">#REF!</definedName>
    <definedName name="ODPR">#REF!</definedName>
    <definedName name="OE">#REF!</definedName>
    <definedName name="old" hidden="1">{#N/A,#N/A,TRUE,"Sheet1";#N/A,#N/A,TRUE,"Sheet2";#N/A,#N/A,TRUE,"Sheet3"}</definedName>
    <definedName name="OPL">#REF!</definedName>
    <definedName name="Orifaga3">#N/A</definedName>
    <definedName name="OUTDP">#REF!</definedName>
    <definedName name="Pace">#REF!</definedName>
    <definedName name="PackagedItems">#REF!</definedName>
    <definedName name="PAF">#REF!</definedName>
    <definedName name="PAGE1">#REF!</definedName>
    <definedName name="PAGE2">#REF!</definedName>
    <definedName name="PAGE3">#REF!</definedName>
    <definedName name="PAGE4">#REF!</definedName>
    <definedName name="page6">#REF!</definedName>
    <definedName name="PCALCR">#REF!</definedName>
    <definedName name="PD">#REF!</definedName>
    <definedName name="PEFF1">#REF!</definedName>
    <definedName name="PEFF2">#REF!</definedName>
    <definedName name="PEFF3">#REF!</definedName>
    <definedName name="PEFF4">#REF!</definedName>
    <definedName name="PEFFR">#REF!</definedName>
    <definedName name="PERC1">#REF!</definedName>
    <definedName name="PERC2">#REF!</definedName>
    <definedName name="PERC3">#REF!</definedName>
    <definedName name="PERC4">#REF!</definedName>
    <definedName name="PERCENT">#REF!</definedName>
    <definedName name="PERMES">#REF!</definedName>
    <definedName name="PI">'[14]LIGHTING &amp; GROUNDING'!#REF!</definedName>
    <definedName name="PIPENB">#REF!</definedName>
    <definedName name="PONo">'[8]Data Input'!$D$11</definedName>
    <definedName name="PowerFactorRequired">[1]API613!#REF!</definedName>
    <definedName name="PPHS">#REF!</definedName>
    <definedName name="PRCALC1">#REF!</definedName>
    <definedName name="PRCALC2">#REF!</definedName>
    <definedName name="PRCALC3">#REF!</definedName>
    <definedName name="PRCALC4">#REF!</definedName>
    <definedName name="PRES">#REF!</definedName>
    <definedName name="PressureGagesManufacturer">[1]API613!#REF!</definedName>
    <definedName name="PressureGagesSizeAndType">[1]API613!#REF!</definedName>
    <definedName name="PreviousData">#REF!</definedName>
    <definedName name="Print">#REF!</definedName>
    <definedName name="_xlnm.Print_Area" localSheetId="0">'EQUIPMENT LIST'!$A$1:$L$187</definedName>
    <definedName name="_xlnm.Print_Area">#REF!</definedName>
    <definedName name="Print_Area_2">#REF!</definedName>
    <definedName name="Print_Area_A">#REF!</definedName>
    <definedName name="Print_Area_MI">#REF!</definedName>
    <definedName name="Print_Area1">[15]Guidelines!$A$1:$F$67</definedName>
    <definedName name="Print_Area2">#REF!</definedName>
    <definedName name="Print_Title1">#REF!</definedName>
    <definedName name="_xlnm.Print_Titles" localSheetId="0">'EQUIPMENT LIST'!$1:$1</definedName>
    <definedName name="_xlnm.Print_Titles">#REF!</definedName>
    <definedName name="Print_Titles_MI">[15]Guidelines!$A$1:$IV$10</definedName>
    <definedName name="Print_Titles_MI1">#REF!</definedName>
    <definedName name="Print_Titles1">[15]Guidelines!$A$2:$IV$2</definedName>
    <definedName name="Print_Titles2">#REF!</definedName>
    <definedName name="PRINT1">#REF!</definedName>
    <definedName name="PRINT2">#REF!</definedName>
    <definedName name="PRINT3">#REF!</definedName>
    <definedName name="PRINTD">#REF!</definedName>
    <definedName name="PRNTEND">#REF!</definedName>
    <definedName name="PRNTMSG">#REF!</definedName>
    <definedName name="PRNTSCRN">#REF!</definedName>
    <definedName name="ProcessServiceDescription">[1]API613!#REF!</definedName>
    <definedName name="ProcessTank">#REF!</definedName>
    <definedName name="Project">#REF!</definedName>
    <definedName name="Project_title">#REF!</definedName>
    <definedName name="PullInTorque">[1]API613!#REF!</definedName>
    <definedName name="PullInTorque_UOM">[1]API613!#REF!</definedName>
    <definedName name="PullOutTorque">[1]API613!#REF!</definedName>
    <definedName name="PullOutTorque_UOM">[1]API613!#REF!</definedName>
    <definedName name="PUMPDP1">#REF!</definedName>
    <definedName name="PUMPDP2">#REF!</definedName>
    <definedName name="PUMPDP3">#REF!</definedName>
    <definedName name="PUMPDP4">#REF!</definedName>
    <definedName name="PUMPDPR">#REF!</definedName>
    <definedName name="PUMPHD1">#REF!</definedName>
    <definedName name="PUMPHD2">#REF!</definedName>
    <definedName name="PUMPHD3">#REF!</definedName>
    <definedName name="PUMPHD4">#REF!</definedName>
    <definedName name="PUMPHDR">#REF!</definedName>
    <definedName name="PWC">#REF!</definedName>
    <definedName name="PWH">#REF!</definedName>
    <definedName name="QualityPurpose">[1]API613!#REF!</definedName>
    <definedName name="QUIT">#REF!</definedName>
    <definedName name="RATED">#REF!</definedName>
    <definedName name="RatedExcitationFieldVoltage">[1]API613!#REF!</definedName>
    <definedName name="RatedExcitationFieldVoltage_UOM">[1]API613!#REF!</definedName>
    <definedName name="RatedFanSpeed">[1]API613!#REF!</definedName>
    <definedName name="RatedFanSpeed_UOM">[1]API613!#REF!</definedName>
    <definedName name="RatedGasHandled">[1]API613!#REF!</definedName>
    <definedName name="RatedInletTemperature">[1]API613!#REF!</definedName>
    <definedName name="RatedInletTemperature_UOM">[1]API613!#REF!</definedName>
    <definedName name="RatedInletVolume">[1]API613!#REF!</definedName>
    <definedName name="RatedInletVolume_UOM">[1]API613!#REF!</definedName>
    <definedName name="RatedkVA">[1]API613!#REF!</definedName>
    <definedName name="RatedMolecularInletWeight">[1]API613!#REF!</definedName>
    <definedName name="RatedStaticDischargePressure">[1]API613!#REF!</definedName>
    <definedName name="RatedStaticDischargePressure_UOM">[1]API613!#REF!</definedName>
    <definedName name="RatedStaticInletPressure">[1]API613!#REF!</definedName>
    <definedName name="RatedStaticInletPressure_UOM">[1]API613!#REF!</definedName>
    <definedName name="RatedWeightFlow">[1]API613!#REF!</definedName>
    <definedName name="RatedWeightFlow_UOM">[1]API613!#REF!</definedName>
    <definedName name="RATNO1">#REF!</definedName>
    <definedName name="RATNO2">#REF!</definedName>
    <definedName name="README">[16]BILAL2!$A$1</definedName>
    <definedName name="_xlnm.Recorder">#REF!</definedName>
    <definedName name="ReducedVoltage">[1]API613!#REF!</definedName>
    <definedName name="ReducedVoltage_UOM">[1]API613!#REF!</definedName>
    <definedName name="RequiredPower">[1]API613!#REF!</definedName>
    <definedName name="RequiredPower_UOM">[1]API613!#REF!</definedName>
    <definedName name="reserve">#REF!</definedName>
    <definedName name="ReservoirHeater">[1]API613!#REF!</definedName>
    <definedName name="ReservoirHeater_UOM">[1]API613!#REF!</definedName>
    <definedName name="ReservoirMaterial">[1]API613!#REF!</definedName>
    <definedName name="ReservoitCapacity">[1]API613!#REF!</definedName>
    <definedName name="ReservoitCapacity_UOM">[1]API613!#REF!</definedName>
    <definedName name="RESET">'[17]Process Data 1'!#REF!</definedName>
    <definedName name="reset2">'[18]Process Data (2)'!#REF!</definedName>
    <definedName name="ResistanceOfExcitationFieldAt25C">[1]API613!#REF!</definedName>
    <definedName name="ResistanceOfExcitationFieldAt25C_UOM">[1]API613!#REF!</definedName>
    <definedName name="REV">#REF!</definedName>
    <definedName name="RevBy">#REF!</definedName>
    <definedName name="RevDate">#REF!</definedName>
    <definedName name="Revision">#REF!</definedName>
    <definedName name="REVISIONS">#REF!</definedName>
    <definedName name="RevList">#REF!</definedName>
    <definedName name="RevListBy">#REF!</definedName>
    <definedName name="RevListDate">#REF!</definedName>
    <definedName name="RevListNo">#REF!</definedName>
    <definedName name="RevListStatus">#REF!</definedName>
    <definedName name="REVNAME1">#REF!</definedName>
    <definedName name="REVNAME2">#REF!</definedName>
    <definedName name="REVNAME3">#REF!</definedName>
    <definedName name="REVNAME4">#REF!</definedName>
    <definedName name="REVNO">#REF!</definedName>
    <definedName name="RiskAutoStopPercChange">1.5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FixedSeed1">123456789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NumIterations">1000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amplingType1">2</definedName>
    <definedName name="RiskShowRiskWindowAtEndOfSimulation">TRUE</definedName>
    <definedName name="RiskStandardRecalc">1</definedName>
    <definedName name="RiskStatFunctionsUpdateFreq">1</definedName>
    <definedName name="RiskTemplateSheetName">"myTemplate"</definedName>
    <definedName name="RiskUpdateDisplay">FALSE</definedName>
    <definedName name="RiskUpdateDisplay1">TRUE</definedName>
    <definedName name="RiskUpdateStatFunctions">TRUE</definedName>
    <definedName name="RiskUseDifferentSeedForEachSim">FALSE</definedName>
    <definedName name="RiskUseFixedSeed">FALSE</definedName>
    <definedName name="RiskUseFixedSeed1">TRUE</definedName>
    <definedName name="RiskUseMultipleCPUs">FALSE</definedName>
    <definedName name="RM">#REF!</definedName>
    <definedName name="RNT">#REF!</definedName>
    <definedName name="RotationFacingCouplingEnd">[1]API613!#REF!</definedName>
    <definedName name="RotorConstruction">[1]API613!#REF!</definedName>
    <definedName name="RotorFanBaseWeigth">[1]API613!#REF!</definedName>
    <definedName name="RotorFanBaseWeigth_UOM">[1]API613!#REF!</definedName>
    <definedName name="RotorFanDriverWeigth">[1]API613!#REF!</definedName>
    <definedName name="RotorFanDriverWeigth_UOM">[1]API613!#REF!</definedName>
    <definedName name="RotorFanWeight">[1]API613!#REF!</definedName>
    <definedName name="RotorFanWeight_UOM">[1]API613!#REF!</definedName>
    <definedName name="RotorFieldWR2AtMotorShaft">[1]API613!#REF!</definedName>
    <definedName name="RotorMaterial">[1]API613!#REF!</definedName>
    <definedName name="Round16down">#N/A</definedName>
    <definedName name="Round16up">#N/A</definedName>
    <definedName name="RP14ETABLE">'[19]RP 14E Table'!$A$4:$P$18</definedName>
    <definedName name="RPI14ETABLE">'[20]RP 14E Table'!$A$4:$P$36</definedName>
    <definedName name="RSOFF1">#REF!</definedName>
    <definedName name="RSOFF2">#REF!</definedName>
    <definedName name="RSOFF3">#REF!</definedName>
    <definedName name="RSOFF4">#REF!</definedName>
    <definedName name="RSOFFR">#REF!</definedName>
    <definedName name="RTBRNCH">#REF!</definedName>
    <definedName name="Rubbush">#REF!</definedName>
    <definedName name="s" hidden="1">{#N/A,#N/A,TRUE,"Sheet1";#N/A,#N/A,TRUE,"Sheet2";#N/A,#N/A,TRUE,"Sheet3"}</definedName>
    <definedName name="SAVE">#REF!</definedName>
    <definedName name="sbu">[5]Basic!$E$4</definedName>
    <definedName name="sdsadssd">[13]Basic!$E$4</definedName>
    <definedName name="SECOND">#REF!</definedName>
    <definedName name="SEQ_NUMS">#REF!</definedName>
    <definedName name="Serial">#REF!</definedName>
    <definedName name="SerialNumber">[1]API613!#REF!</definedName>
    <definedName name="Service">'[8]Data Input'!$G$9</definedName>
    <definedName name="ServiceFactor">[1]API613!#REF!</definedName>
    <definedName name="SET">#REF!</definedName>
    <definedName name="SET0">#REF!</definedName>
    <definedName name="SFDP1">#REF!</definedName>
    <definedName name="SFDP2">#REF!</definedName>
    <definedName name="SFDP3">#REF!</definedName>
    <definedName name="SFDP4">#REF!</definedName>
    <definedName name="SFDPR">#REF!</definedName>
    <definedName name="Sheet">#REF!</definedName>
    <definedName name="Sheet2">[21]general!#REF!</definedName>
    <definedName name="Sheet3">[21]general!#REF!</definedName>
    <definedName name="Sheet4">[21]general!#REF!</definedName>
    <definedName name="Sheet5">[21]general!#REF!</definedName>
    <definedName name="Sheet6">[21]general!#REF!</definedName>
    <definedName name="SHUTR">#REF!</definedName>
    <definedName name="SIT">#REF!</definedName>
    <definedName name="Site">[1]API613!#REF!</definedName>
    <definedName name="SiteBarometer">[1]API613!#REF!</definedName>
    <definedName name="SiteBarometer_UOM">[1]API613!#REF!</definedName>
    <definedName name="SiteElevation">[1]API613!#REF!</definedName>
    <definedName name="SiteElevation_UOM">[1]API613!#REF!</definedName>
    <definedName name="SKETCH">#REF!</definedName>
    <definedName name="Skirt_4">#REF!</definedName>
    <definedName name="Skirt_8">#REF!</definedName>
    <definedName name="SKTCH1">#REF!</definedName>
    <definedName name="SKTCH2">#REF!</definedName>
    <definedName name="SORT_AREA_DOTS">#REF!</definedName>
    <definedName name="SPEC">#REF!</definedName>
    <definedName name="SpecNo">'[8]Data Input'!$D$9</definedName>
    <definedName name="SpeedvsCurrent">[1]API613!#REF!</definedName>
    <definedName name="SpeedvsPowerFactor">[1]API613!#REF!</definedName>
    <definedName name="SpeedvsTorque">[1]API613!#REF!</definedName>
    <definedName name="SRCEP1">#REF!</definedName>
    <definedName name="SRCEP2">#REF!</definedName>
    <definedName name="SRCEP3">#REF!</definedName>
    <definedName name="SRCEP4">#REF!</definedName>
    <definedName name="SRCEPR">#REF!</definedName>
    <definedName name="SSTB_Topsides">#REF!</definedName>
    <definedName name="SSTB_Topsides1">#REF!</definedName>
    <definedName name="SSTB_Topsides2">#REF!</definedName>
    <definedName name="SSTHD">#REF!</definedName>
    <definedName name="SSTHD1">#REF!</definedName>
    <definedName name="SSTHD2">#REF!</definedName>
    <definedName name="SSTHD3">#REF!</definedName>
    <definedName name="SSTHD4">#REF!</definedName>
    <definedName name="SSTHDR">#REF!</definedName>
    <definedName name="STAN">#REF!</definedName>
    <definedName name="stan2">#REF!</definedName>
    <definedName name="StandbyPumpMotorDriven">[1]API613!#REF!</definedName>
    <definedName name="StartingLoaded">[1]API613!#REF!</definedName>
    <definedName name="StartingTorque">[1]API613!#REF!</definedName>
    <definedName name="StartingTorque_UOM">[1]API613!#REF!</definedName>
    <definedName name="StartingUnloaded">[1]API613!#REF!</definedName>
    <definedName name="StorageTank">#REF!</definedName>
    <definedName name="STRM1D">#REF!</definedName>
    <definedName name="STRM1U">#REF!</definedName>
    <definedName name="STRM2D">#REF!</definedName>
    <definedName name="STRM2U">#REF!</definedName>
    <definedName name="STRM3D">#REF!</definedName>
    <definedName name="STRM3U">#REF!</definedName>
    <definedName name="STRM4D">#REF!</definedName>
    <definedName name="STRM4U">#REF!</definedName>
    <definedName name="STRMESS">#REF!</definedName>
    <definedName name="STRMNAME">#REF!</definedName>
    <definedName name="STSK">#REF!</definedName>
    <definedName name="SubTotal">#REF!</definedName>
    <definedName name="SubTotal1">'[6]D Platform'!$G$5:$G$824</definedName>
    <definedName name="SUCDPR">#REF!</definedName>
    <definedName name="SUCP1">#REF!</definedName>
    <definedName name="SUCP2">#REF!</definedName>
    <definedName name="SUCP3">#REF!</definedName>
    <definedName name="SUCP4">#REF!</definedName>
    <definedName name="SurgeCapacitorsMountedBy">[1]API613!#REF!</definedName>
    <definedName name="SurgeTank">#REF!</definedName>
    <definedName name="SwitchClosuresAlarmContactShall">[1]API613!#REF!</definedName>
    <definedName name="SwitchClosuresAlarmContactShallENG">[1]API613!#REF!</definedName>
    <definedName name="SwitchClosuresShutdownContactShall">[1]API613!#REF!</definedName>
    <definedName name="SwitchClosuresShutdownContactShallENG">[1]API613!#REF!</definedName>
    <definedName name="SynchronousRMP">[1]API613!#REF!</definedName>
    <definedName name="SynchronousRMP_UOM">[1]API613!#REF!</definedName>
    <definedName name="SYSTEM">#REF!</definedName>
    <definedName name="TABLE">#REF!</definedName>
    <definedName name="TABLE2">#REF!</definedName>
    <definedName name="TEMP1">#REF!</definedName>
    <definedName name="TEMP2">#REF!</definedName>
    <definedName name="TEMP3">#REF!</definedName>
    <definedName name="TEMP4">#REF!</definedName>
    <definedName name="TemperatureRise">[1]API613!#REF!</definedName>
    <definedName name="TemperatureRise_UOM">[1]API613!#REF!</definedName>
    <definedName name="TemperatureRiseAbove">[1]API613!#REF!</definedName>
    <definedName name="TemperatureRiseAbove_UOM">[1]API613!#REF!</definedName>
    <definedName name="TEMPR">#REF!</definedName>
    <definedName name="test">#REF!</definedName>
    <definedName name="Test1">#REF!</definedName>
    <definedName name="test123" hidden="1">{#N/A,#N/A,TRUE,"Sheet1";#N/A,#N/A,TRUE,"Sheet2";#N/A,#N/A,TRUE,"Sheet3"}</definedName>
    <definedName name="test2">#REF!</definedName>
    <definedName name="Text14">#REF!</definedName>
    <definedName name="Text24">#REF!</definedName>
    <definedName name="TGRP">#REF!</definedName>
    <definedName name="ThrustBearingsManufacturer">[1]API613!#REF!</definedName>
    <definedName name="TITLE">#REF!</definedName>
    <definedName name="TKW">#REF!</definedName>
    <definedName name="TNUM">#REF!</definedName>
    <definedName name="Topsides">[15]Guidelines!$B$3:$B$8</definedName>
    <definedName name="Topsides1">'[9]Building Blocks'!$A$3:$A$6</definedName>
    <definedName name="total">#REF!</definedName>
    <definedName name="total1">'[6]D Platform'!$H$5:$H$824</definedName>
    <definedName name="totalequ">#REF!</definedName>
    <definedName name="TotalMolecularWeigth">[1]API613!#REF!</definedName>
    <definedName name="TotalPages">'[8]Data Input'!#REF!</definedName>
    <definedName name="TotalShippingWeight">[1]API613!#REF!</definedName>
    <definedName name="TotalShippingWeight_UOM">[1]API613!#REF!</definedName>
    <definedName name="Tower">#REF!</definedName>
    <definedName name="trash" hidden="1">{#N/A,#N/A,TRUE,"Sheet1";#N/A,#N/A,TRUE,"Sheet2";#N/A,#N/A,TRUE,"Sheet3"}</definedName>
    <definedName name="Tree_Systems1">#REF!</definedName>
    <definedName name="Tree_Systems2">#REF!</definedName>
    <definedName name="Tree_Systems3">'[9]Building Blocks'!$A$27:$A$30</definedName>
    <definedName name="Tree_Systems4">'[9]Building Blocks'!$A$32:$A$34</definedName>
    <definedName name="Tree_Systems5">#REF!</definedName>
    <definedName name="Tree_Systems6">#REF!</definedName>
    <definedName name="Tree_Systems7">'[9]Building Blocks'!$A$27:$A$30</definedName>
    <definedName name="Tree_Systems9">'[9]Building Blocks'!$A$32:$A$34</definedName>
    <definedName name="trial">#REF!</definedName>
    <definedName name="TurbineComp">#REF!</definedName>
    <definedName name="TurbineCompresor">#REF!</definedName>
    <definedName name="Umbilical_Systems">#REF!</definedName>
    <definedName name="Umbilical_Systems1">'[9]Building Blocks'!$A$19:$A$25</definedName>
    <definedName name="Umbilical_Systems2">#REF!</definedName>
    <definedName name="Umbilical_Systems3">'[9]Building Blocks'!$A$19:$A$25</definedName>
    <definedName name="Unit">[1]API613!#REF!</definedName>
    <definedName name="Units">#REF!</definedName>
    <definedName name="Units1">'[6]D Platform'!$D$5:$D$824</definedName>
    <definedName name="Update1">#REF!</definedName>
    <definedName name="UPPR">#REF!</definedName>
    <definedName name="v">#REF!</definedName>
    <definedName name="V_101">#REF!</definedName>
    <definedName name="V_111">#REF!</definedName>
    <definedName name="V101_">#REF!</definedName>
    <definedName name="V111_">#REF!</definedName>
    <definedName name="VesVet">'[2]Phase 4 Cost Est'!#REF!</definedName>
    <definedName name="VFLOW1">#REF!</definedName>
    <definedName name="VFLOW2">#REF!</definedName>
    <definedName name="VFLOW3">#REF!</definedName>
    <definedName name="VFLOW4">#REF!</definedName>
    <definedName name="VFLOWR">#REF!</definedName>
    <definedName name="VISR">#REF!</definedName>
    <definedName name="VoltageDip">[1]API613!#REF!</definedName>
    <definedName name="VoltageDip_UOM">[1]API613!#REF!</definedName>
    <definedName name="VoltsForDCExcitation">[1]API613!#REF!</definedName>
    <definedName name="VPR">#REF!</definedName>
    <definedName name="Waterflood">#REF!</definedName>
    <definedName name="Waterflood1">'[9]Building Blocks'!$A$51:$A$54</definedName>
    <definedName name="Waterflood2">#REF!</definedName>
    <definedName name="Waterflood4">'[9]Building Blocks'!$A$51:$A$54</definedName>
    <definedName name="WFLOW">#REF!</definedName>
    <definedName name="WFLOW1">#REF!</definedName>
    <definedName name="WFLOW2">#REF!</definedName>
    <definedName name="WFLOW3">#REF!</definedName>
    <definedName name="WFLOW4">#REF!</definedName>
    <definedName name="WFLOWR">#REF!</definedName>
    <definedName name="WindingTemperatureDetectorAndSpaceHeaterLeads">[1]API613!#REF!</definedName>
    <definedName name="WindingTemperatureDetectorMaximumStatorForAlarm">[1]API613!#REF!</definedName>
    <definedName name="WindingTemperatureDetectorMaximumStatorForAlarm_UOM">[1]API613!#REF!</definedName>
    <definedName name="WindingTemperatureDetectorMaximumStatorForShutdown">[1]API613!#REF!</definedName>
    <definedName name="WindingTemperatureDetectorMaximumStatorForShutdown_UOM">[1]API613!#REF!</definedName>
    <definedName name="WindingTemperatureDetectorResistanceMaterial">[1]API613!#REF!</definedName>
    <definedName name="WindingTemperatureDetectorResistanceOhms">[1]API613!#REF!</definedName>
    <definedName name="WindingTemperatureDetectorResistanceTemperatureDetectorsPhase">[1]API613!#REF!</definedName>
    <definedName name="WindingTemperatureDetectorSelectorSwitchAndIndicatorBy">[1]API613!#REF!</definedName>
    <definedName name="WindingTemperatureDetectorTemperatureSwitch">[1]API613!#REF!</definedName>
    <definedName name="WindingTemperatureDetectorThermistorPhase">[1]API613!#REF!</definedName>
    <definedName name="wrn.Equipment._.List." hidden="1">{#N/A,#N/A,TRUE,"COVERSHEET";#N/A,#N/A,TRUE,"LEGEND";#N/A,#N/A,TRUE,"LIST"}</definedName>
    <definedName name="wrn.Equipment._.List.21134" hidden="1">{#N/A,#N/A,TRUE,"COVERSHEET";#N/A,#N/A,TRUE,"LEGEND";#N/A,#N/A,TRUE,"LIST"}</definedName>
    <definedName name="wrn.inst.list.5H" hidden="1">{#N/A,#N/A,TRUE,"Sheet1";#N/A,#N/A,TRUE,"Sheet2";#N/A,#N/A,TRUE,"Sheet3"}</definedName>
    <definedName name="wrn.INSTRUMENT._.LIST." hidden="1">{#N/A,#N/A,TRUE,"Sheet1";#N/A,#N/A,TRUE,"Sheet2";#N/A,#N/A,TRUE,"Sheet3"}</definedName>
    <definedName name="wrn.INSTRUMENT._.LIST1." hidden="1">{#N/A,#N/A,TRUE,"Sheet1";#N/A,#N/A,TRUE,"Sheet2";#N/A,#N/A,TRUE,"Sheet3"}</definedName>
    <definedName name="wrn.INSTRUMENT._.LIST2." hidden="1">{#N/A,#N/A,TRUE,"Sheet1";#N/A,#N/A,TRUE,"Sheet2";#N/A,#N/A,TRUE,"Sheet3"}</definedName>
    <definedName name="wrn.INSTRUMENT._.LIST3." hidden="1">{#N/A,#N/A,TRUE,"Sheet1";#N/A,#N/A,TRUE,"Sheet2";#N/A,#N/A,TRUE,"Sheet3"}</definedName>
    <definedName name="wrn.INSTRUMENT._.LIST4." hidden="1">{#N/A,#N/A,TRUE,"Sheet1";#N/A,#N/A,TRUE,"Sheet2";#N/A,#N/A,TRUE,"Sheet3"}</definedName>
    <definedName name="wrn.INSTRUMENT._.LIST5." hidden="1">{#N/A,#N/A,TRUE,"Sheet1";#N/A,#N/A,TRUE,"Sheet2";#N/A,#N/A,TRUE,"Sheet3"}</definedName>
    <definedName name="www.list2" hidden="1">{#N/A,#N/A,TRUE,"Sheet1";#N/A,#N/A,TRUE,"Sheet2";#N/A,#N/A,TRUE,"Sheet3"}</definedName>
    <definedName name="xx">[15]Guidelines!$A$1:$F$67</definedName>
    <definedName name="XXXX" hidden="1">{#N/A,#N/A,TRUE,"Sheet1";#N/A,#N/A,TRUE,"Sheet2";#N/A,#N/A,TRUE,"Sheet3"}</definedName>
    <definedName name="year">[5]Basic!$E$6</definedName>
    <definedName name="YN">[22]Lists!$A$12:$A$14</definedName>
    <definedName name="yuuiuyiyi">[13]Basic!$E$5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5" i="40" l="1"/>
  <c r="G128" i="40"/>
  <c r="G127" i="40"/>
  <c r="G126" i="40"/>
  <c r="G123" i="40" l="1"/>
  <c r="F70" i="40"/>
  <c r="G70" i="40" s="1"/>
  <c r="F65" i="40"/>
  <c r="G65" i="40" s="1"/>
  <c r="F71" i="40"/>
  <c r="G71" i="40" s="1"/>
  <c r="F64" i="40"/>
  <c r="G64" i="40" s="1"/>
  <c r="F58" i="40"/>
  <c r="G58" i="40" s="1"/>
  <c r="F59" i="40"/>
  <c r="G59" i="4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tc={FEE73FFA-3E6A-4AFB-A2DC-59F640AE4386}</author>
    <author>tc={A1B90E3F-D905-4189-B010-12578CEBEC2B}</author>
  </authors>
  <commentList>
    <comment ref="K112" authorId="0" shapeId="0" xr:uid="{FEE73FFA-3E6A-4AFB-A2DC-59F640AE4386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Formerly 4323</t>
      </text>
    </comment>
    <comment ref="K113" authorId="1" shapeId="0" xr:uid="{A1B90E3F-D905-4189-B010-12578CEBEC2B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Formerly 4323</t>
      </text>
    </comment>
  </commentList>
</comments>
</file>

<file path=xl/sharedStrings.xml><?xml version="1.0" encoding="utf-8"?>
<sst xmlns="http://schemas.openxmlformats.org/spreadsheetml/2006/main" count="1866" uniqueCount="797">
  <si>
    <t>ITEM</t>
  </si>
  <si>
    <t>EQUIPMENT NUMBER</t>
  </si>
  <si>
    <t>EQUIPMENT NAME</t>
  </si>
  <si>
    <r>
      <t xml:space="preserve">DESCRIPTION
</t>
    </r>
    <r>
      <rPr>
        <b/>
        <sz val="8"/>
        <rFont val="Calibri"/>
        <family val="2"/>
        <scheme val="minor"/>
      </rPr>
      <t>(Note 2)</t>
    </r>
  </si>
  <si>
    <t>PID REFERENCE</t>
  </si>
  <si>
    <t>QTY</t>
  </si>
  <si>
    <t>OPERATING / STANDBY</t>
  </si>
  <si>
    <t>UNITS</t>
  </si>
  <si>
    <r>
      <t xml:space="preserve">MATERIAL
</t>
    </r>
    <r>
      <rPr>
        <b/>
        <sz val="8"/>
        <rFont val="Calibri"/>
        <family val="2"/>
        <scheme val="minor"/>
      </rPr>
      <t>(Note 2)</t>
    </r>
  </si>
  <si>
    <r>
      <t xml:space="preserve">DIMENSIONS (ft)
</t>
    </r>
    <r>
      <rPr>
        <b/>
        <sz val="8"/>
        <rFont val="Calibri"/>
        <family val="2"/>
        <scheme val="minor"/>
      </rPr>
      <t>(Note 2)</t>
    </r>
  </si>
  <si>
    <t xml:space="preserve">PACKAGE NO. </t>
  </si>
  <si>
    <t>PACKAGE NAME</t>
  </si>
  <si>
    <t>DESIGN FLOW RATE  [M3/H]</t>
  </si>
  <si>
    <t>DESIGN PRESS (PSIG)</t>
  </si>
  <si>
    <t>DESIGN TEMP (DEG. F)</t>
  </si>
  <si>
    <t>DESIGN TEMP (DEG. C)</t>
  </si>
  <si>
    <t>MOTOR SIZE (HP)</t>
  </si>
  <si>
    <t>MOTOR VOLTAGE (V)</t>
  </si>
  <si>
    <t>MOTOR PHASE (PH)</t>
  </si>
  <si>
    <t>HEAT DUTY (MMBTU/HR)</t>
  </si>
  <si>
    <t>SURFACE AREA (M2)</t>
  </si>
  <si>
    <t>TBD</t>
  </si>
  <si>
    <t>HOISTS</t>
  </si>
  <si>
    <t>N/A</t>
  </si>
  <si>
    <t xml:space="preserve">SAFETY SHOWERS &amp; EYE WASH STATIONS </t>
  </si>
  <si>
    <t>CONVENTIONAL SHOWERS</t>
  </si>
  <si>
    <t>1500-PR-PID-0000-EXP-5140</t>
  </si>
  <si>
    <t>ea.</t>
  </si>
  <si>
    <t>SAFETY SHOWER AND EYEWASH STATIONS</t>
  </si>
  <si>
    <t>SULFUR AREA CONDENSATE COLLECTION SYSTEM</t>
  </si>
  <si>
    <t/>
  </si>
  <si>
    <t>1510-PR-PID-0000-EXP-5024</t>
  </si>
  <si>
    <t>CONDENSATE COLLECTION SYSTEM</t>
  </si>
  <si>
    <t>1510-PK-002</t>
  </si>
  <si>
    <t>SULFUR PIT COILS CONDENSATE COLLECTION SYSTEM</t>
  </si>
  <si>
    <t>1510-PK-003</t>
  </si>
  <si>
    <t>SULFUR VAPOR SCRUBBER SKID</t>
  </si>
  <si>
    <t>HORIZONTAL CENTRIFUGAL</t>
  </si>
  <si>
    <t>1510-PR-PID-0000-EXP-5015</t>
  </si>
  <si>
    <t>SULFUR VAPOR SCRUBBER</t>
  </si>
  <si>
    <t>75KW</t>
  </si>
  <si>
    <t>1510-PK-007</t>
  </si>
  <si>
    <t>- SULFUR VAPOR SCRUBBER VAPOR FAN</t>
  </si>
  <si>
    <t xml:space="preserve">CENTRIFUGAL </t>
  </si>
  <si>
    <t>- SULFUR VAPOR SCRUBBER CIRCULATION PUMPS</t>
  </si>
  <si>
    <t>TFE LINED, MAG DRIVE</t>
  </si>
  <si>
    <t>1/1</t>
  </si>
  <si>
    <t>- CAUSTIC METERING PUMP</t>
  </si>
  <si>
    <t>DOSING PUMP</t>
  </si>
  <si>
    <t>LDPE TUBING</t>
  </si>
  <si>
    <t>- SULFUR VAPOR SCRUBBER</t>
  </si>
  <si>
    <t>PACKED TOWER COMPLETE WITH PACKING AND DISTRIBUTOR</t>
  </si>
  <si>
    <t xml:space="preserve">2250 SS </t>
  </si>
  <si>
    <t>- SULFUR VAPOR  SCRUBBER DISCHARGE  STACK</t>
  </si>
  <si>
    <t>STAND ALONE STACK</t>
  </si>
  <si>
    <t>SURFACTANT DOSING SKID</t>
  </si>
  <si>
    <t>BY OWNER</t>
  </si>
  <si>
    <t>CHEMFEED SYSTEM (By Owner)</t>
  </si>
  <si>
    <t>HYDROGEN PEROXIDE DOSING SKID</t>
  </si>
  <si>
    <t>SULFUR UNLOADING PUMPS</t>
  </si>
  <si>
    <t>VERTICAL CENTRIFUGAL, STEAM JACKETED</t>
  </si>
  <si>
    <t>1510-PR-PID-0000-EXP-5010</t>
  </si>
  <si>
    <t>VERTICAL LIQUID SULFUR PUMPS</t>
  </si>
  <si>
    <r>
      <t xml:space="preserve"> 84 m</t>
    </r>
    <r>
      <rPr>
        <vertAlign val="superscript"/>
        <sz val="12"/>
        <rFont val="Calibri"/>
        <family val="2"/>
        <scheme val="minor"/>
      </rPr>
      <t>3</t>
    </r>
    <r>
      <rPr>
        <sz val="12"/>
        <rFont val="Calibri"/>
        <family val="2"/>
        <scheme val="minor"/>
      </rPr>
      <t xml:space="preserve">/h, 15 m TDH </t>
    </r>
  </si>
  <si>
    <t>CAUSTIC UNLOADING PUMP</t>
  </si>
  <si>
    <t>MAG-DRIVE SEAL LESS PUMP</t>
  </si>
  <si>
    <t>1510-PR-PID-0000-EXP-5195</t>
  </si>
  <si>
    <t>CHEMICAL PUMPS</t>
  </si>
  <si>
    <t>SULFUR FEED PUMP</t>
  </si>
  <si>
    <r>
      <t>26.5 m</t>
    </r>
    <r>
      <rPr>
        <vertAlign val="superscript"/>
        <sz val="12"/>
        <rFont val="Calibri"/>
        <family val="2"/>
        <scheme val="minor"/>
      </rPr>
      <t>3</t>
    </r>
    <r>
      <rPr>
        <sz val="12"/>
        <rFont val="Calibri"/>
        <family val="2"/>
        <scheme val="minor"/>
      </rPr>
      <t xml:space="preserve">/h, 85 m TDH </t>
    </r>
  </si>
  <si>
    <t>CAUSTIC FEED PUMP</t>
  </si>
  <si>
    <t>LIQUID SULFUR STORAGE TANK</t>
  </si>
  <si>
    <t xml:space="preserve">14 DAYS STORAGE </t>
  </si>
  <si>
    <t>1510-PR-PID-0000-EXP-5012/5013</t>
  </si>
  <si>
    <t>CARBON STEEL</t>
  </si>
  <si>
    <t>FIELD FABRICATED TANKS</t>
  </si>
  <si>
    <t>1510-PR-PID-0000-EXP-5013</t>
  </si>
  <si>
    <t>lot</t>
  </si>
  <si>
    <t>EQUIPMENT STEAM TRACE</t>
  </si>
  <si>
    <t>CAUSTIC TANK</t>
  </si>
  <si>
    <t>12,500 GALLON</t>
  </si>
  <si>
    <t>1510-ZC-001</t>
  </si>
  <si>
    <t>- SULFUR  PIT COVER</t>
  </si>
  <si>
    <t>STAINLESS STEEL</t>
  </si>
  <si>
    <t>1510-PR-PID-0000-EXP-5010 / 5020</t>
  </si>
  <si>
    <t xml:space="preserve"> SULFUR PIT HEATERS AND COVERS</t>
  </si>
  <si>
    <t>- SULFUR PIT HEATERS</t>
  </si>
  <si>
    <t>SERPENTINE COIL DESIGN</t>
  </si>
  <si>
    <t>1510-PR-PID-0000-EXP-5020</t>
  </si>
  <si>
    <t>12 (6 x 2  coils each)</t>
  </si>
  <si>
    <t>1510-PR-PID-0000-EXP-5011</t>
  </si>
  <si>
    <t>LOADING/UNLOADING ARM AND CAGE</t>
  </si>
  <si>
    <t>DRYING / INTERPASS ACID COOLER</t>
  </si>
  <si>
    <t>1520-PR-PID-0000-EXP-5067</t>
  </si>
  <si>
    <t>SHELL: 316L
TUBE: 316L</t>
  </si>
  <si>
    <t>S&amp;T COOLERS (MECS PACKAGE)</t>
  </si>
  <si>
    <t>FINAL TOWER ACID COOLER</t>
  </si>
  <si>
    <t>1520-PR-PID-0000-EXP-5065</t>
  </si>
  <si>
    <t>PRODUCT ACID COOLER</t>
  </si>
  <si>
    <t>1520-PR-PID-0000-EXP-5064</t>
  </si>
  <si>
    <t>174720 KG/H</t>
  </si>
  <si>
    <t>FIN FAN COOLERS</t>
  </si>
  <si>
    <t>7 BAYS OF 3 FANS</t>
  </si>
  <si>
    <t>1520-PR-PID-0000-EXP-5116</t>
  </si>
  <si>
    <t>SAFETY SHOWERS &amp; EYE WASH STATIONS</t>
  </si>
  <si>
    <t>1500-PR-PID-0000-EXP-5142</t>
  </si>
  <si>
    <t>INLET AIR FILTER</t>
  </si>
  <si>
    <t>1520-PR-PID-0000-EXP-5058</t>
  </si>
  <si>
    <t>192088 CFM</t>
  </si>
  <si>
    <t>FIN FAN SIDE STREAM FILTER</t>
  </si>
  <si>
    <t>1520-PR-PID-0000-EXP-5114</t>
  </si>
  <si>
    <t>WATER FILTERS</t>
  </si>
  <si>
    <t>BOILER FEEDWATER  PREHEATER</t>
  </si>
  <si>
    <t>SHELL &amp; TUBE, MECS PROPRIETARY EQUIPMENT</t>
  </si>
  <si>
    <t>TUBES: ZECOR</t>
  </si>
  <si>
    <t xml:space="preserve">FIN FAN CHEMICAL DOSING SYSTEM </t>
  </si>
  <si>
    <t>FINAL TOWER ACID PUMP</t>
  </si>
  <si>
    <t>98.5% H2SO4 VERTICAL CENTRIFUGAL, SUBMERGED</t>
  </si>
  <si>
    <t>1520-PR-PID-0000-EXP-5060</t>
  </si>
  <si>
    <t>1/1*</t>
  </si>
  <si>
    <t>LEWMET</t>
  </si>
  <si>
    <t>VERTICAL STRONG ACID PUMPS</t>
  </si>
  <si>
    <t>30m TDH</t>
  </si>
  <si>
    <t>DRYING TOWER / INTERPASS ACID  PUMP</t>
  </si>
  <si>
    <t>PRODUCT ACID PUMP</t>
  </si>
  <si>
    <t>93.5% - 98.5% H2SO4, VERTICAL CENTRIFUGAL, SUBMERGED</t>
  </si>
  <si>
    <t>1520-PR-PID-0000-EXP-5062</t>
  </si>
  <si>
    <t>35m TDH</t>
  </si>
  <si>
    <t>STRONG ACID DRAIN PUMP</t>
  </si>
  <si>
    <t>93-99% H2SO4 HORIZONTAL CENTRIFUGAL SEALLESS</t>
  </si>
  <si>
    <t>HORIZONTAL STRONG ACID PUMPS</t>
  </si>
  <si>
    <t>40 m3/h, 35 m TDH</t>
  </si>
  <si>
    <t>FIN FAN COOLING WATER PUMPS</t>
  </si>
  <si>
    <t>2/1</t>
  </si>
  <si>
    <t>WATER PUMPS</t>
  </si>
  <si>
    <t>3449 m3/h</t>
  </si>
  <si>
    <t>50m</t>
  </si>
  <si>
    <t>TRANSLOADING EFFLUENT UNLOADING PUMP</t>
  </si>
  <si>
    <t>1520-PR-PID-0000-EXP-5147</t>
  </si>
  <si>
    <t>SA1 EFFLUENT FEED PUMPS</t>
  </si>
  <si>
    <t>1 /1</t>
  </si>
  <si>
    <t>COMBINATION PUMP TANK</t>
  </si>
  <si>
    <t>HORIZONTAL CYLINDRICAL TANK</t>
  </si>
  <si>
    <t>ZECOR</t>
  </si>
  <si>
    <t>PUMP TANKS (MECS PACKAGE)</t>
  </si>
  <si>
    <t>1520-TK-001</t>
  </si>
  <si>
    <t>-DRYING TOWER DILUTION SPARGER</t>
  </si>
  <si>
    <t>SPARGER (MECS PACKAGE)</t>
  </si>
  <si>
    <t>-FINAL TOWER DILUTION SPARGER</t>
  </si>
  <si>
    <t>-ACID FROM FAT - DIP PIPE</t>
  </si>
  <si>
    <t>DIP PIPE</t>
  </si>
  <si>
    <t>-ACID FROM DT - DIP PIPE</t>
  </si>
  <si>
    <t>DILUTION PUMP TANK</t>
  </si>
  <si>
    <t xml:space="preserve">HORIZONTAL CYLINDRICAL TANK </t>
  </si>
  <si>
    <t>1520-TK-002</t>
  </si>
  <si>
    <t>FIN FAN COOLING WATER EXPANSION TANK</t>
  </si>
  <si>
    <t>SHOP FAB CS VESSELS</t>
  </si>
  <si>
    <t>SA1 EFFLUENT STORAGE TANK</t>
  </si>
  <si>
    <t>DUPLEX</t>
  </si>
  <si>
    <t>DUPLEX PACKAGE</t>
  </si>
  <si>
    <t>1520-TK-007</t>
  </si>
  <si>
    <t>- SA1 EFFLUENT STORAGE TANK AGITATOR</t>
  </si>
  <si>
    <t>AGITATORS</t>
  </si>
  <si>
    <t>DRYING TOWER</t>
  </si>
  <si>
    <t>PACKED TOWER</t>
  </si>
  <si>
    <t xml:space="preserve">ZECOR </t>
  </si>
  <si>
    <t>ZECOR TOWERS (FABRICATION)</t>
  </si>
  <si>
    <t>1520-TW-001</t>
  </si>
  <si>
    <t>UNIFLO TROUGH TYPE 
MECS PROPRIETARY EQUIPMENT</t>
  </si>
  <si>
    <t>ZECOR-Z</t>
  </si>
  <si>
    <t>ACID DISTRIBUTION (MECS PACKAGE)</t>
  </si>
  <si>
    <t>-DT MIST ELIMINATORS</t>
  </si>
  <si>
    <t>GK‐IP EFR</t>
  </si>
  <si>
    <t>316L SS/FIBER</t>
  </si>
  <si>
    <t>MIST ELIMINATORS (MECS PROPRIETARY)</t>
  </si>
  <si>
    <t>-DT MAIN PACKING</t>
  </si>
  <si>
    <t>STRUCTURED PACKING</t>
  </si>
  <si>
    <t>CERAMIC</t>
  </si>
  <si>
    <t>STRUCTURED CERAMIC PACKING</t>
  </si>
  <si>
    <t>-DT SPRAY CATCHER RANDOM PACKING</t>
  </si>
  <si>
    <t>CERAMIC PACKING</t>
  </si>
  <si>
    <t>-DT ACID OUTLET STRAINER</t>
  </si>
  <si>
    <t>STRAINER/VORTEX BREAKER, MECS PROP. EQUIP</t>
  </si>
  <si>
    <t>FINAL ABSORBING TOWER</t>
  </si>
  <si>
    <t>1520-PR-PID-0000-EXP-5066</t>
  </si>
  <si>
    <t>333827 Am3/h</t>
  </si>
  <si>
    <t>1520-TW-002</t>
  </si>
  <si>
    <t>-FAT ACID DISTRIBUTOR</t>
  </si>
  <si>
    <t xml:space="preserve">- FAT MIST ELIMINATORS </t>
  </si>
  <si>
    <t>Type XP-24144 EFF</t>
  </si>
  <si>
    <t>-FAT MAIN PACKING</t>
  </si>
  <si>
    <t>-FAT MAIN / SPRAY CATCHER RANDOM PACKING</t>
  </si>
  <si>
    <t>- FAT ACID OUTLET STRAINER</t>
  </si>
  <si>
    <t>INTERPASS ABSORBING TOWER</t>
  </si>
  <si>
    <t>1520-PR-PID-0000-EXP-5084</t>
  </si>
  <si>
    <t>ZECOR-310M</t>
  </si>
  <si>
    <t>430021 Am3/h</t>
  </si>
  <si>
    <t>1520-TW-003</t>
  </si>
  <si>
    <t>-INTERPASS ACID DISTRIBUTOR</t>
  </si>
  <si>
    <t xml:space="preserve">- INTERPASS ABSORBING TOWER MIST ELIMINATORS </t>
  </si>
  <si>
    <t>- INTERPASS SPRAY CATCHER RANDOM PACKING</t>
  </si>
  <si>
    <t>-INTERPASS ABSORBING TOWER PACKING</t>
  </si>
  <si>
    <t>- INTERPASS ABSORBING TOWER OUTLET STRAINER</t>
  </si>
  <si>
    <t>SUMP PIT COVERS</t>
  </si>
  <si>
    <t>OXIDATION BLOWER</t>
  </si>
  <si>
    <t>INCLUDING INLET/DISCHARGE SILENCER, CONNECTORS, ENCLOSURES, AND ACCESSORIES</t>
  </si>
  <si>
    <t>1530-PR-PID-0000-EXP-5106</t>
  </si>
  <si>
    <t>OXIDATION AIR BLOWER</t>
  </si>
  <si>
    <t>TAIL GAS SCRUBBER CIRCULATION PUMPS</t>
  </si>
  <si>
    <t>HORIZONTAL CENTRIFUGAL PUMP</t>
  </si>
  <si>
    <t>1530-PR-PID-0000-EXP-5102</t>
  </si>
  <si>
    <t>TGS PUMPS</t>
  </si>
  <si>
    <t>26m TDH</t>
  </si>
  <si>
    <t>TAIL GAS SCRUBBER</t>
  </si>
  <si>
    <t>TWO STAGE  MIST ELIMINATOR</t>
  </si>
  <si>
    <t>1530-PR-PID-0000-EXP-5100</t>
  </si>
  <si>
    <t>271215 Am3/h</t>
  </si>
  <si>
    <t>1530-SR-001</t>
  </si>
  <si>
    <t>- TAIL GAS SCRUBBER CHEVRON</t>
  </si>
  <si>
    <t>- TAIL GAS SCRUBBER MESH PAD</t>
  </si>
  <si>
    <t xml:space="preserve">- TAIL GAS SCRUBBER LOWER INLET BARREL </t>
  </si>
  <si>
    <t xml:space="preserve">1-STAGE REVERSE FLOW INLET BARREL </t>
  </si>
  <si>
    <t>- TAIL GAS SCRUBBER UPPER INLET BARREL</t>
  </si>
  <si>
    <t>TGS FRP INLET BARREL</t>
  </si>
  <si>
    <t>-TAILGAS SCRUBBER INLET EXPANSION JOINT</t>
  </si>
  <si>
    <t>WET GAS FABRIC EXPANSION JOINT</t>
  </si>
  <si>
    <t>TGS EXPANSION JOINTS</t>
  </si>
  <si>
    <t>- REVERSE JET SPRAY NOZZLES</t>
  </si>
  <si>
    <t>SPRAY NOZZLES (MECS PACKAGE)</t>
  </si>
  <si>
    <t xml:space="preserve">- CHEVRON WASH NOZZLES </t>
  </si>
  <si>
    <t>SCREW IN NOZZLES (1-1/4 NPT)</t>
  </si>
  <si>
    <t>316SS</t>
  </si>
  <si>
    <t>ALLOY SPRAY NOZZLES</t>
  </si>
  <si>
    <t>PLANT STACK</t>
  </si>
  <si>
    <t>1530-PR-PID-0000-EXP-5104</t>
  </si>
  <si>
    <t>DUPLEX 2205</t>
  </si>
  <si>
    <t>HP BOILER BLOWDOWN SAMPLE COOLER</t>
  </si>
  <si>
    <t>1540-PR-PID-0000-EXP-5074</t>
  </si>
  <si>
    <t>SAMPLE COOLERS</t>
  </si>
  <si>
    <t>HP STEAM SAMPLE COOLER</t>
  </si>
  <si>
    <t>BOILER FEEDWATER SAMPLE COOLER</t>
  </si>
  <si>
    <t>1540-PR-PID-0000-EXP-5068</t>
  </si>
  <si>
    <t>MAIN COMPRESSOR</t>
  </si>
  <si>
    <t>SINGLE STAGE CENTRIFUGAL COMPRESSOR. VFD DRIVEN.</t>
  </si>
  <si>
    <t>1540-PR-PID-0000-EXP-5040 / 5110</t>
  </si>
  <si>
    <t>CAST IRON</t>
  </si>
  <si>
    <t xml:space="preserve">MAIN COMPRESSOR </t>
  </si>
  <si>
    <t>N/A - see below</t>
  </si>
  <si>
    <t>1540-GB-001</t>
  </si>
  <si>
    <t>1540-PR-PID-0000-EXP-5112</t>
  </si>
  <si>
    <t>CAST IRON/CS</t>
  </si>
  <si>
    <t>7900 KW</t>
  </si>
  <si>
    <t>-DRIVE TRAIN WITH GEARBOX/MOTOR</t>
  </si>
  <si>
    <t>VSD/VFD CONTROLLED</t>
  </si>
  <si>
    <t>1540-PR-PID-0000-EXP-5110</t>
  </si>
  <si>
    <t>-MAIN COMPRESSOR LUBRICATION SYSTEM</t>
  </si>
  <si>
    <t>WITH LUBE TANKS (MAIN AND RUNDOWN), COOLERS AND PUMPS</t>
  </si>
  <si>
    <t>-COMPRESSOR ANTI-SURGE SYSTEM</t>
  </si>
  <si>
    <t>1540-PR-PID-0000-EXP-5040</t>
  </si>
  <si>
    <t>-MAIN OIL PUMP</t>
  </si>
  <si>
    <t>-AUXILIARY OIL PUMP</t>
  </si>
  <si>
    <t xml:space="preserve">WASTE HEAT BOILER  </t>
  </si>
  <si>
    <t xml:space="preserve">SINGLE BOILER </t>
  </si>
  <si>
    <t>CARBON STEEL / STAINLESS STEEL OUTLET VESTIBULE</t>
  </si>
  <si>
    <t>WASTE HEAT RECOVERY SYSTEM</t>
  </si>
  <si>
    <t>1540-HX-001</t>
  </si>
  <si>
    <t xml:space="preserve">-SLIDE BEARING PLATES </t>
  </si>
  <si>
    <t>3 (EST)</t>
  </si>
  <si>
    <t>SLIDE BEARING PLATES</t>
  </si>
  <si>
    <t>- STEAM DRUM</t>
  </si>
  <si>
    <t>STEAM DRUM MOUNTED ABOVE BOILER</t>
  </si>
  <si>
    <t>ECONOMIZER 3B</t>
  </si>
  <si>
    <t>1540-PR-PID-0000-EXP-5072</t>
  </si>
  <si>
    <t>1540-HX-002</t>
  </si>
  <si>
    <t>-SLIDE BEARING PLATES</t>
  </si>
  <si>
    <t>8  (Est)</t>
  </si>
  <si>
    <t>HP SUPERHEATER 1B</t>
  </si>
  <si>
    <t>CYLINDRICAL DESIGN</t>
  </si>
  <si>
    <t>1540-PR-PID-0000-EXP-5078</t>
  </si>
  <si>
    <t>1540-HX-003</t>
  </si>
  <si>
    <t>1540-PR-PID-0000-EXP-5050</t>
  </si>
  <si>
    <t>4 (Est)</t>
  </si>
  <si>
    <t>HP SUPERHEATER 4A</t>
  </si>
  <si>
    <t>IP SUPERHEATER 4A CASING</t>
  </si>
  <si>
    <t>ECONOMIZER 4C</t>
  </si>
  <si>
    <t>6.8 / 12.7</t>
  </si>
  <si>
    <t>2945 / 2848</t>
  </si>
  <si>
    <t>ECONOMIZER 4A</t>
  </si>
  <si>
    <t>1540-HX-007</t>
  </si>
  <si>
    <t>COLD INTERPASS HEAT EXCHANGER</t>
  </si>
  <si>
    <t>1540-PR-PID-0000-EXP-5052</t>
  </si>
  <si>
    <t>STAINLESS STEEL GAS EXCHANGERS</t>
  </si>
  <si>
    <t>1540-HX-008</t>
  </si>
  <si>
    <t>16 (Est)</t>
  </si>
  <si>
    <t>HOT INTERPASS HEAT EXCHANGER</t>
  </si>
  <si>
    <t>1540-HX-009</t>
  </si>
  <si>
    <t xml:space="preserve">- HOT INTERPASS HEAT EXCHANGER SLIDE PLATES </t>
  </si>
  <si>
    <t>START-UP BURNER MANAGEMENT SYSTEM</t>
  </si>
  <si>
    <t>PROPANE FUELED</t>
  </si>
  <si>
    <t>1540-PR-PID-0000-EXP-5029</t>
  </si>
  <si>
    <t>START-UP BURNER</t>
  </si>
  <si>
    <t>46.4 MJ/kg</t>
  </si>
  <si>
    <t>1540-PK-001</t>
  </si>
  <si>
    <t>- FUEL SKID</t>
  </si>
  <si>
    <t>ACID PLANT CONDENSATE COLLECTION SYSTEM</t>
  </si>
  <si>
    <t>1540-PR-PID-0000-EXP-5025</t>
  </si>
  <si>
    <t>1540-PK-002</t>
  </si>
  <si>
    <t xml:space="preserve">DEAERATOR CHEMICAL DOSING SKID </t>
  </si>
  <si>
    <t>(OXYGEN SCAVENGER) (BY OWNER)</t>
  </si>
  <si>
    <t>1540-PR-PID-0000-EXP-5070</t>
  </si>
  <si>
    <t>BOILER BLOW-DOWN SUMP PUMP</t>
  </si>
  <si>
    <t>1540-PR-PID-0000-EXP-5076</t>
  </si>
  <si>
    <t>1 / 1*</t>
  </si>
  <si>
    <t>SUMP PUMPS</t>
  </si>
  <si>
    <t>HP BOILER FEEDWATER PUMPS</t>
  </si>
  <si>
    <t>BOILER FEED WATER PUMPS</t>
  </si>
  <si>
    <t>740m TDH</t>
  </si>
  <si>
    <t>PRESSURIZED BOILER BLOWDOWN TANK</t>
  </si>
  <si>
    <t>BLOWDOWN TANKS</t>
  </si>
  <si>
    <t>DEAERATOR</t>
  </si>
  <si>
    <t xml:space="preserve">VERTICAL SEPARATOR, HORIZONTAL STORAGE, VERTICAL HEATER, SPRAY TRAY TYPE </t>
  </si>
  <si>
    <t>A-516-70 CARBON STEEL  (DEARATOR AND STORANGE TANK) WITH 430 SS INTERNAL TRAYS</t>
  </si>
  <si>
    <t xml:space="preserve">DEAERATOR </t>
  </si>
  <si>
    <t>CONVERTER</t>
  </si>
  <si>
    <t>STAID DESIGN, 4 BEDS</t>
  </si>
  <si>
    <t>1540-PR-PID-0000-EXP-5048</t>
  </si>
  <si>
    <t>304H STAINLESS STEEL</t>
  </si>
  <si>
    <t>STAINLESS CONVERTER</t>
  </si>
  <si>
    <t>1540-RE-001</t>
  </si>
  <si>
    <t>-CERAMIC BALLS</t>
  </si>
  <si>
    <t>ON TOP AND BOTTOM EACH CATALYST BED</t>
  </si>
  <si>
    <t>-CATALYST PASS 1</t>
  </si>
  <si>
    <t>MECS CATALYST - GR330</t>
  </si>
  <si>
    <t>VANADIUM PENTOXIDE</t>
  </si>
  <si>
    <t>CATALYST (MECS PACKAGE)</t>
  </si>
  <si>
    <t>-CATALYST PASS 2</t>
  </si>
  <si>
    <t>MECS CATALYST - SUPER GEAR XLP-310</t>
  </si>
  <si>
    <t>-CATALYST PASS 3</t>
  </si>
  <si>
    <t>-CATALYST PASS 4</t>
  </si>
  <si>
    <t>-STAINLESS STEEL SCREENS</t>
  </si>
  <si>
    <t>321 STAINLESS STEEL</t>
  </si>
  <si>
    <t>ATMOSPHERIC BOILER BLOWDOWN TANK</t>
  </si>
  <si>
    <t>BOILER BLOW-DOWN SUMP COVER</t>
  </si>
  <si>
    <t>SULFUR FURNACE</t>
  </si>
  <si>
    <t>REFRACTORY BRICK LINED INCLUDING 2 BAFFLES</t>
  </si>
  <si>
    <t>1540-PR-PID-0000-EXP-5026 / 5042</t>
  </si>
  <si>
    <t>SULFUR FURNACE &amp; CROSS OVER DUCT</t>
  </si>
  <si>
    <t>1540-ZM-001</t>
  </si>
  <si>
    <t>- REFRACTORY BRICK (INCLUDES SULFUR FURNACE, DUCT AND WHB VESTIBULE)</t>
  </si>
  <si>
    <t>4.5 IN INSULATING, 9 IN SUPER DUTY</t>
  </si>
  <si>
    <t>1540-PR-PID-0000-EXP-5042</t>
  </si>
  <si>
    <t>FIREBRICK</t>
  </si>
  <si>
    <t>REFRACTORY BRICK &amp; CASTABLE (REFRACTORY LINING MATERIALS)</t>
  </si>
  <si>
    <t>- CROSS-OVER DUCT</t>
  </si>
  <si>
    <t>REFRACTORY BRICK LINED</t>
  </si>
  <si>
    <t>- SULFUR SPRAY ASSEMBLIES</t>
  </si>
  <si>
    <t>1540-PR-PID-0000-EXP-5026 / 5028</t>
  </si>
  <si>
    <t>FURNACE AND CROSS OVER SLIDE PLATES</t>
  </si>
  <si>
    <t>1540-PR-PID-0000-EXP-5026 / 5028 / 5042</t>
  </si>
  <si>
    <t>JUG VALVE ASSEMBLY (SH1B)</t>
  </si>
  <si>
    <t xml:space="preserve">JUG VALVE </t>
  </si>
  <si>
    <t>INSTRUMENT AIR RECEIVER</t>
  </si>
  <si>
    <t>1550-PR-PID-0000-EXP-5130</t>
  </si>
  <si>
    <t>AIR RECEIVERS</t>
  </si>
  <si>
    <t>PLANT AIR RECEIVER</t>
  </si>
  <si>
    <t>1550-PR-PID-0000-EXP-5132</t>
  </si>
  <si>
    <t>1550-CT-001</t>
  </si>
  <si>
    <t>- ACID PLANT COOLING TOWER HEATERS</t>
  </si>
  <si>
    <t>1550-PR-PID-0000-EXP-5122</t>
  </si>
  <si>
    <t>COOLING TOWERS</t>
  </si>
  <si>
    <t>ACID PLANT COOLING TOWER</t>
  </si>
  <si>
    <t>1 FAN PER CELL</t>
  </si>
  <si>
    <t>1076 m3/h</t>
  </si>
  <si>
    <t>10 + 18kW(per Cell)</t>
  </si>
  <si>
    <t>ACID COOLING CHEMICAL DOSING SYSTEM</t>
  </si>
  <si>
    <t>0.5 (Est)</t>
  </si>
  <si>
    <t>ACID PLANT COOLING TOWER PUMPS</t>
  </si>
  <si>
    <t>626 m3/h</t>
  </si>
  <si>
    <t>35m</t>
  </si>
  <si>
    <t>IP AUXILIARY BOILER</t>
  </si>
  <si>
    <t>1560-PR-PID-0000-EXP-5182</t>
  </si>
  <si>
    <t>IP AUX BOILER</t>
  </si>
  <si>
    <t>15 m3/hr</t>
  </si>
  <si>
    <t>1 x 125 / 2x 20HP / 1 x 15 / 1 x 1.5</t>
  </si>
  <si>
    <t>1560-BO-001</t>
  </si>
  <si>
    <t>- IP AUX BOILER BLOWER FAN</t>
  </si>
  <si>
    <t>VSD CONTROLLED</t>
  </si>
  <si>
    <t>- IP AUX BOILER DEAERATOR PUMPS</t>
  </si>
  <si>
    <t xml:space="preserve"> 1 / 1</t>
  </si>
  <si>
    <t>- IP AUX BOILER DEAERATOR</t>
  </si>
  <si>
    <t>-IP AUX BOILER BLOWDOWN  TANK</t>
  </si>
  <si>
    <t>WITH EXHAUST HEAD</t>
  </si>
  <si>
    <t>-IP AUX BOILER STACK</t>
  </si>
  <si>
    <t>AIR COOLED CONDENSER SYSTEM</t>
  </si>
  <si>
    <t>1560-PR-PID-0000-EXP-5174</t>
  </si>
  <si>
    <t>CARBON STEEL  ALUMINUM COATED TUBES</t>
  </si>
  <si>
    <t>AIR COOLED CONDENSER</t>
  </si>
  <si>
    <t>97 MW</t>
  </si>
  <si>
    <t>1560-CD-001</t>
  </si>
  <si>
    <t>- STEAM JET AIR EJECTOR SYSTEM (HOLDING)</t>
  </si>
  <si>
    <t>- LIQUID RING VACUUM PUMP (HOGGING)</t>
  </si>
  <si>
    <t>- CONDENSATE TANK</t>
  </si>
  <si>
    <t>1560-PR-PID-0000-EXP-5175</t>
  </si>
  <si>
    <t>WATER TREATMENT PACKAGE</t>
  </si>
  <si>
    <t>1560-PR-PID-0000-EXP-5136</t>
  </si>
  <si>
    <t>WATER TREATMENT</t>
  </si>
  <si>
    <t>1560-PK-001</t>
  </si>
  <si>
    <t>- MULTIMEDIA FILTERS</t>
  </si>
  <si>
    <t>5 (EST)</t>
  </si>
  <si>
    <t>- CLEAN IN PLACE SYSTEM</t>
  </si>
  <si>
    <t>20HP + 30kW heater</t>
  </si>
  <si>
    <t xml:space="preserve">- REVERSE OSMOSIS SKID </t>
  </si>
  <si>
    <t>100 , 60</t>
  </si>
  <si>
    <t xml:space="preserve">IP AUX BOILER CHEMICAL DOSING SKID </t>
  </si>
  <si>
    <t>(BY OWNER)</t>
  </si>
  <si>
    <t>TREATED WATER EXPORT PUMPS</t>
  </si>
  <si>
    <t>1560-PR-PID-0000-EXP-5134</t>
  </si>
  <si>
    <t>TREATED WATER PUMPS</t>
  </si>
  <si>
    <t>1560-PR-PID-0000-EXP-5138</t>
  </si>
  <si>
    <t>28m TDH</t>
  </si>
  <si>
    <t>WATER TREATMENT AREA SUMP PUMP</t>
  </si>
  <si>
    <t>235m3/h</t>
  </si>
  <si>
    <t>ACC CONDENSATE TRANSFER PUMP</t>
  </si>
  <si>
    <t>150 m3/h</t>
  </si>
  <si>
    <t>80C</t>
  </si>
  <si>
    <t>BYPASS CONDENSATE PUMPS</t>
  </si>
  <si>
    <t>TURBO GENERATOR SET</t>
  </si>
  <si>
    <t>1560-PR-PID-0000-EXP-5160</t>
  </si>
  <si>
    <t>STEAM TURBINE GENERATOR</t>
  </si>
  <si>
    <t>225KW</t>
  </si>
  <si>
    <t>1560-TG-001</t>
  </si>
  <si>
    <t>TREATED WATER STORAGE TANK</t>
  </si>
  <si>
    <t>WATER TREATMENT AREA SUMP COVER</t>
  </si>
  <si>
    <t>PRODUCT ACID TRANSFER PUMPS</t>
  </si>
  <si>
    <t>HORIZONTAL MAGNETIC DRIVE PUMP</t>
  </si>
  <si>
    <t>1570-PR-PID-0000-EXP-5186</t>
  </si>
  <si>
    <t>DUCTILE CAST IRON TEFZEL LINED</t>
  </si>
  <si>
    <t>75 m3/h</t>
  </si>
  <si>
    <t>ACID OUTLOADING PUMPS</t>
  </si>
  <si>
    <t>98.5 ACID RECIRCULATION PUMP</t>
  </si>
  <si>
    <t>1570-PR-PID-0000-EXP-5188</t>
  </si>
  <si>
    <t>37 m3/h</t>
  </si>
  <si>
    <t>START-UP ACID UNLOADING PUMP</t>
  </si>
  <si>
    <t>1570-PR-PID-0000-EXP-5192</t>
  </si>
  <si>
    <t>PRODUCT ACID STORAGE TANK</t>
  </si>
  <si>
    <t>START-UP ACID STORAGE TANK</t>
  </si>
  <si>
    <t>1570-PR-PID-0000-EXP-5190</t>
  </si>
  <si>
    <t>ACID TRUCK LOADING ARMS</t>
  </si>
  <si>
    <t>LOADING ARMS AND CAGES</t>
  </si>
  <si>
    <t>ch</t>
  </si>
  <si>
    <t>JUG VALVE ASSEMBLY (WHB)</t>
  </si>
  <si>
    <t>TFE LINED MOUNTED ON POLYMER CONCRETE BASE PLATE</t>
  </si>
  <si>
    <t>CS FRAME WITH SS HEADER AND SS STEEL TUBES</t>
  </si>
  <si>
    <t>PART OF 1550-CT-001</t>
  </si>
  <si>
    <t>18 kW ELECTRIC HEATER - 1 PER CELL</t>
  </si>
  <si>
    <t>BLACK STEEL HOUSING WITH SPUN BOND POLY FITLER</t>
  </si>
  <si>
    <t>- INTEGRAL LUBE OIL SYSTEM</t>
  </si>
  <si>
    <t>INCLUDING INTEGRAL LUBE OIL SYSTEM</t>
  </si>
  <si>
    <t>3 CELLED W FRAME CONFIGURATION WITH 3 VFDS. INCLUDES DUCT, VACUUM SYSTEM SKID, RUPTURE DISK, VACUUM BREAKER, DRAIN POT, PUMPS, STRUCTURAL SUPPORT, WALKWAYS STAIRS AND LADDERS</t>
  </si>
  <si>
    <t>STAINLESS STEEL / CS FOR STRUCTURE AND CAGES</t>
  </si>
  <si>
    <t>PTFE LINED SPARGER</t>
  </si>
  <si>
    <t>-FROM DRYING TOWER/IPAT AND PRODUCT COOLER</t>
  </si>
  <si>
    <t>DIP PIPES (MECS)</t>
  </si>
  <si>
    <t>CAST IRON CASING/IMPELLER</t>
  </si>
  <si>
    <t>SHELL HEAT EXCHANGER</t>
  </si>
  <si>
    <t>TUBE: 316 SS
SHELL: 304 SS</t>
  </si>
  <si>
    <t>2" SADDLES</t>
  </si>
  <si>
    <t>ALLOY 20 STAINLESS STEEL</t>
  </si>
  <si>
    <t>304 SS</t>
  </si>
  <si>
    <t>STAND ALONE  GAS EXCHANGER</t>
  </si>
  <si>
    <t>MULTIPLE SEGMENTS (TWO END COVERS AND FIVE MIDDLE COVERS)</t>
  </si>
  <si>
    <t>COMMON SKID (3 FILTERS IN OPERATION AND 1 STANDBY)</t>
  </si>
  <si>
    <t>3/1</t>
  </si>
  <si>
    <t>- SODIUM HYPOCHLORIDE FEEDER</t>
  </si>
  <si>
    <t>CONTINOUS ELECTRO-DEIONIZATION UNITS (CEDI)</t>
  </si>
  <si>
    <t>-FILTERED WATER STORAGE TANK</t>
  </si>
  <si>
    <t>1</t>
  </si>
  <si>
    <t>FRP</t>
  </si>
  <si>
    <t>- FILTER BACKWASH SKID</t>
  </si>
  <si>
    <t xml:space="preserve">DUPLEX </t>
  </si>
  <si>
    <t>INCLUDES COAGULANT CHEMICAL FEEDER, ANTISCALANT FEEDER, SODIUM BISULFITE CHEMICAL FEEDER, CAUSTIC CHEMICAL FEEDER</t>
  </si>
  <si>
    <t>- CHEMICAL FEED DOSING SKIDS</t>
  </si>
  <si>
    <t>417,500 GALLONS</t>
  </si>
  <si>
    <t>CS FRAME, SS PIPING, PUMPS</t>
  </si>
  <si>
    <t>1,132,400 GALLONS, 3.5 DAYS STORAGE PER TANK</t>
  </si>
  <si>
    <t>511,000 US GALLONS</t>
  </si>
  <si>
    <t>EPOXY LINED CARBON STEEL</t>
  </si>
  <si>
    <t>MULTISTAGE, CENTRIFUGAL</t>
  </si>
  <si>
    <t>13,472.8 GAL TANK</t>
  </si>
  <si>
    <t>SULFUR PIT</t>
  </si>
  <si>
    <t>CONCRETE UNLINED PIT</t>
  </si>
  <si>
    <t>CONCRETE PIT</t>
  </si>
  <si>
    <t>11,300 GALLON</t>
  </si>
  <si>
    <t>REPLACEABLE MEDIA FILTER (REVERSE PULSE JET)</t>
  </si>
  <si>
    <t>CONTROTRACE</t>
  </si>
  <si>
    <t>L14 IRON, ALLOY 2, NI-CR ALLOY,</t>
  </si>
  <si>
    <t xml:space="preserve">FRP WITH ECTFE </t>
  </si>
  <si>
    <t>EPDM WITH PTFE FOIL LINER</t>
  </si>
  <si>
    <t>CS ASSEMBLY WITH SS GUN AND BURNER TIPS</t>
  </si>
  <si>
    <t>FRP TANK</t>
  </si>
  <si>
    <t>included on skid</t>
  </si>
  <si>
    <t>included with HPSH4A</t>
  </si>
  <si>
    <t>-EXTERNALTANK HEATING ELEMENTS</t>
  </si>
  <si>
    <t>VERTICAL CANNED PUMP</t>
  </si>
  <si>
    <t>1560-PR-PID-0000-EXP-5164</t>
  </si>
  <si>
    <t>1560-PR-PID-0000-EXP-5177</t>
  </si>
  <si>
    <t>5.9x6.3x3.28 (Est)</t>
  </si>
  <si>
    <t>6x9x0.5</t>
  </si>
  <si>
    <t>7x4x4</t>
  </si>
  <si>
    <t>50 Hx1.3 DIA</t>
  </si>
  <si>
    <t>3.0x1.0x1.0 (Est)</t>
  </si>
  <si>
    <t>80  IDSx44 Shell H</t>
  </si>
  <si>
    <t>12 DIAx23 H (Est)</t>
  </si>
  <si>
    <t>56x19.9x0.9 (OVERALL)</t>
  </si>
  <si>
    <t>20.4x2x15.5</t>
  </si>
  <si>
    <t>66x16x24 (per 3 bays )</t>
  </si>
  <si>
    <t>4.8x1.8x1.9</t>
  </si>
  <si>
    <t>3.3x1.3x1.3 (Est)</t>
  </si>
  <si>
    <t>7  DIAx13  T-T</t>
  </si>
  <si>
    <t>23.5 DIAx52.2 H</t>
  </si>
  <si>
    <t>21 DIAx80.6 H</t>
  </si>
  <si>
    <t>9.84x4.09x9.5 (With Enclosure)</t>
  </si>
  <si>
    <t xml:space="preserve"> 16 IDx60 OAH</t>
  </si>
  <si>
    <t>11  DIAx21.4 H</t>
  </si>
  <si>
    <t>9.2 DIAx22 H</t>
  </si>
  <si>
    <t>9 DIAx197 H</t>
  </si>
  <si>
    <t>0.5x0.5x1.4</t>
  </si>
  <si>
    <t>35x18.5x19.5 H (TOTAL UNIT)</t>
  </si>
  <si>
    <t>12x5x5.5 (Est)</t>
  </si>
  <si>
    <t>13x7x0.04</t>
  </si>
  <si>
    <t xml:space="preserve">17.3 DIAx36.9 T-T
17.3 DIA Bustle </t>
  </si>
  <si>
    <t>0.83x1x0.04 Thick</t>
  </si>
  <si>
    <t>16.3 IDSx50 T-T</t>
  </si>
  <si>
    <t>16.3 IDSx50 T-T
14.0 IDB</t>
  </si>
  <si>
    <t>42x11x14 (Est)</t>
  </si>
  <si>
    <t>180x44x52</t>
  </si>
  <si>
    <t>4x2.5x6</t>
  </si>
  <si>
    <t>4x2.5x 6</t>
  </si>
  <si>
    <t>12x11x8</t>
  </si>
  <si>
    <t>4x10</t>
  </si>
  <si>
    <t>24x8x9.2 (Est)</t>
  </si>
  <si>
    <t>10 DIAx20 H</t>
  </si>
  <si>
    <t>3.3x1.25x1.9</t>
  </si>
  <si>
    <t>13.1x4.6x3.3 (Est)</t>
  </si>
  <si>
    <t>34x8x9 (Est)</t>
  </si>
  <si>
    <t>22x11x15 (Est)</t>
  </si>
  <si>
    <t>35x11x13 (Est)</t>
  </si>
  <si>
    <t>3.94x1.31x13.8 (Est)</t>
  </si>
  <si>
    <t>23x9x12 (Est)</t>
  </si>
  <si>
    <t xml:space="preserve">0.7x0.7x0.04 Thick </t>
  </si>
  <si>
    <t>10.25x7.7x13.25 (Est)</t>
  </si>
  <si>
    <t>13.2x4.2</t>
  </si>
  <si>
    <t>96 DIAx60 ft</t>
  </si>
  <si>
    <t>24x10x0.04</t>
  </si>
  <si>
    <t>4x1.5x1.9</t>
  </si>
  <si>
    <t>60  IDx26.5 Shell H</t>
  </si>
  <si>
    <t>74  IDSx37 Shell H</t>
  </si>
  <si>
    <t>Platform: 2.95x4.92x10.5 (Est)</t>
  </si>
  <si>
    <t>4x1.5x2.4</t>
  </si>
  <si>
    <t>48  IDSx37 Shell H</t>
  </si>
  <si>
    <t>1.18 DIAx2.82 H (Est)</t>
  </si>
  <si>
    <t>22.5x20.3x22</t>
  </si>
  <si>
    <t>Horizontal : 10.5 IDSx16.57 L
Vertical: 6.2  IDSx7.38 H (Est)</t>
  </si>
  <si>
    <t>42 DIAx67.17 OAH</t>
  </si>
  <si>
    <t>15.0  DIAx57.4 T-T
 17.1 DIA Bustle</t>
  </si>
  <si>
    <t>58.2x17x27.2</t>
  </si>
  <si>
    <t>19.5 DIAx67.9 H</t>
  </si>
  <si>
    <t>ft3</t>
  </si>
  <si>
    <t>SHELL &amp; TUBE, ANODICALLY PROTECTED. MECS PROPRIETARY EQUIPMENT</t>
  </si>
  <si>
    <t>GA50 MEEHANITE</t>
  </si>
  <si>
    <t>(ANTI SCALANT) (BY OWNER)</t>
  </si>
  <si>
    <t xml:space="preserve">HIGH PRESSURE BOILER CHEMICAL DOSING SKID </t>
  </si>
  <si>
    <t xml:space="preserve">INCLUDES OFF SET BA NOZZLE TYPE </t>
  </si>
  <si>
    <t>(BIOCIDE)  (BY OWNER)</t>
  </si>
  <si>
    <t>COMMON UNIT WITH ECONOMIZER 1540-HX-006/007 AND SUPERHEATER 1540-HX-004/005</t>
  </si>
  <si>
    <t>COMMON UNIT WITH ECONOMIZER 1540-HX-006/007 AND SUPERHEATER 1540-HX-004/005. CASING ONLY WITHOUT BUNDLE.</t>
  </si>
  <si>
    <t>SULFUR LANCE HOISTS</t>
  </si>
  <si>
    <t>PLASTIC</t>
  </si>
  <si>
    <t>-DT ACID DISTRIBUTOR</t>
  </si>
  <si>
    <t>set</t>
  </si>
  <si>
    <t>-LUBE OIL COOLER</t>
  </si>
  <si>
    <t>DOUBLE OIL SHELL AND TUBE COOLER</t>
  </si>
  <si>
    <t>TG EXTERNAL CONDENSATE COLLECTION SYSTEM</t>
  </si>
  <si>
    <t>- TG EXTERNAL CONDENSATE COLLECTION SYSTEM PUMPS</t>
  </si>
  <si>
    <t>- ACID PLANT CONDENSATE COLLECTION SYSTEM PUMPS</t>
  </si>
  <si>
    <t>- SULFUR PIT COILS CONDENSATE COLLECTION PUMPS</t>
  </si>
  <si>
    <t>- SULFUR AREA CONDENSATE COLLECTION PUMPS</t>
  </si>
  <si>
    <t>1560-PK-007</t>
  </si>
  <si>
    <t>1510-TK-001 / 002</t>
  </si>
  <si>
    <t>54x24.3x18.7 (Area Envelope)</t>
  </si>
  <si>
    <t>7’-6” dia. x 26'-3"</t>
  </si>
  <si>
    <t>12 IDx16.5 Shell H</t>
  </si>
  <si>
    <t>7.3Hx3D x 3W</t>
  </si>
  <si>
    <t>16H x 2.7L x 1.8 W</t>
  </si>
  <si>
    <t>16H x 3L x 1.9W</t>
  </si>
  <si>
    <t>- CYCLONE SEPARATOR</t>
  </si>
  <si>
    <t>SHELL: 316L
TUBE: 304L</t>
  </si>
  <si>
    <t>6'-5" w x 39'l x 9'-9" H</t>
  </si>
  <si>
    <t>2' x 35' L x 7.2" H</t>
  </si>
  <si>
    <t>7.3H x 3D x 3W</t>
  </si>
  <si>
    <t>9'-10" x 53' - 7"  x 14' - 11"</t>
  </si>
  <si>
    <t>2' W X 33'L X 4'2" H</t>
  </si>
  <si>
    <t>14.5H x 8L x 3.9w</t>
  </si>
  <si>
    <t>8.75H x 3.9L x 2.5W</t>
  </si>
  <si>
    <t>14.5H x 4.5L x 3.3W</t>
  </si>
  <si>
    <t>7.1 x 2.9 x 5.8</t>
  </si>
  <si>
    <t>12 DIAx75 T-T L</t>
  </si>
  <si>
    <t>1.5OD x 12.1</t>
  </si>
  <si>
    <t>1.66OD x 11.8</t>
  </si>
  <si>
    <t>10 DIAx11'6 H (Est)</t>
  </si>
  <si>
    <t>2.5 dia x 5.4ft Length</t>
  </si>
  <si>
    <t>2ft dia x 13.9 ft long</t>
  </si>
  <si>
    <t>7.5H x 3D x 3W</t>
  </si>
  <si>
    <t>16ft x 6in (44segments)</t>
  </si>
  <si>
    <t>316 / Glass Co-Knit</t>
  </si>
  <si>
    <t>14.1L x 10.1 W x 11.5H</t>
  </si>
  <si>
    <t>9.3L x 10.1 W x 14H</t>
  </si>
  <si>
    <t>8.6 x 4</t>
  </si>
  <si>
    <t>20 x 6.5 x 7</t>
  </si>
  <si>
    <t>7.5 x 5 x 3</t>
  </si>
  <si>
    <t>Heater : 7ft ID x 5ft (T-T)
Tank: 9ft OD x 21ft-2" (T-T)</t>
  </si>
  <si>
    <t>4.25 OD x 13.7H</t>
  </si>
  <si>
    <t>5 OD x 16.2H</t>
  </si>
  <si>
    <t>7 OD x 27.3H</t>
  </si>
  <si>
    <t xml:space="preserve">6.7 x 2.9 x 4 </t>
  </si>
  <si>
    <t>4.8 x 2.5 x 2.6 ft</t>
  </si>
  <si>
    <t>5.25 x 2.5 x 2</t>
  </si>
  <si>
    <t>8.3 x 2.5 x 2.1</t>
  </si>
  <si>
    <t>WATER RECOVERY TANK</t>
  </si>
  <si>
    <t>1560-PR-PID-0000-EXP-XXXX</t>
  </si>
  <si>
    <t>10'  ID x 18'-1"</t>
  </si>
  <si>
    <t>10,281 GALLONS</t>
  </si>
  <si>
    <t>FRP TANKS</t>
  </si>
  <si>
    <t>FRPTANKS</t>
  </si>
  <si>
    <t>WATER RECOVERY PUMPS</t>
  </si>
  <si>
    <t>18/ 5</t>
  </si>
  <si>
    <t>CAUSTIC FEED BOOSTER PUMP</t>
  </si>
  <si>
    <r>
      <t>26.5 m</t>
    </r>
    <r>
      <rPr>
        <b/>
        <i/>
        <vertAlign val="superscript"/>
        <sz val="12"/>
        <rFont val="Calibri"/>
        <family val="2"/>
        <scheme val="minor"/>
      </rPr>
      <t>3</t>
    </r>
    <r>
      <rPr>
        <b/>
        <i/>
        <sz val="12"/>
        <rFont val="Calibri"/>
        <family val="2"/>
        <scheme val="minor"/>
      </rPr>
      <t xml:space="preserve">/h, 85 m TDH </t>
    </r>
  </si>
  <si>
    <t>SULFUR TRUCK UNLOADING ARMS</t>
  </si>
  <si>
    <t>UNLOADING ARMS  AND LIQUID SULFUR TRUCK  CAGES + STAIRS</t>
  </si>
  <si>
    <t>1510-ES-001 ~ 004</t>
  </si>
  <si>
    <t>1510-PK-002 (Part of) | 1510-PP-016 / 017</t>
  </si>
  <si>
    <t>1510-PK-003 (Part of) | 1510-PP-018 / 019</t>
  </si>
  <si>
    <t>1510-PK-007 (Part of) | 1510-FN-001</t>
  </si>
  <si>
    <t>1510-PK-007 (Part of) | 1510-PP-010 / 011</t>
  </si>
  <si>
    <t>1510-PK-007 (Part of) | 1510-PP-012</t>
  </si>
  <si>
    <t>1510-PK-007 (Part of) | 1510-SR-001</t>
  </si>
  <si>
    <t>1510-PK-007 (Part of) | 1510-SR-002</t>
  </si>
  <si>
    <t>1510-PK-007 (Part of) | 1510-ST-001</t>
  </si>
  <si>
    <t>1510-PK-013</t>
  </si>
  <si>
    <t>1510-PK-014</t>
  </si>
  <si>
    <t>1510-PP-001/002</t>
  </si>
  <si>
    <t>1510-PP-003</t>
  </si>
  <si>
    <t>1510-PP-004/005</t>
  </si>
  <si>
    <t>1510-PP-007/008</t>
  </si>
  <si>
    <t>1510-PP-014/015</t>
  </si>
  <si>
    <t>1510-TK-001 / 002 (Part of) | 1510-ZM-001 / 002</t>
  </si>
  <si>
    <t>1510-TK-003</t>
  </si>
  <si>
    <t>1510-ZC-001 (Part of) | 1510-ZC-004</t>
  </si>
  <si>
    <t>1510-ZC-001 (Part of) | 1510-ZE-001~012</t>
  </si>
  <si>
    <t>1510-ZM-017 / 018 / 019 / 020</t>
  </si>
  <si>
    <t>1520-CO-001</t>
  </si>
  <si>
    <t>1520-CO-002</t>
  </si>
  <si>
    <t>1520-CO-003</t>
  </si>
  <si>
    <t>1520-CO-008~014</t>
  </si>
  <si>
    <t>1520-ES-001 ~ 016</t>
  </si>
  <si>
    <t>1520-FL-001</t>
  </si>
  <si>
    <t>1520-FL-005</t>
  </si>
  <si>
    <t>1520-HX-006</t>
  </si>
  <si>
    <t>1520-PK-005</t>
  </si>
  <si>
    <t>1520-PP-001</t>
  </si>
  <si>
    <t>1520-PP-002</t>
  </si>
  <si>
    <t>1520-PP-005</t>
  </si>
  <si>
    <t>1520-PP-007</t>
  </si>
  <si>
    <t>1520-PP-008/009/010</t>
  </si>
  <si>
    <t>1520-PP-021</t>
  </si>
  <si>
    <t>1520-PP-023/024</t>
  </si>
  <si>
    <t>1520-TK-001 (Part of) | 1520-ZM-011</t>
  </si>
  <si>
    <t>1520-TK-001 (Part of) | 1520-ZM-012</t>
  </si>
  <si>
    <t>1520-TK-001 (Part of) | 1520-ZM-014</t>
  </si>
  <si>
    <t>1520-TK-001 (Part of) | 1520-ZM-015</t>
  </si>
  <si>
    <t>1520-TK-001 (Part of) | 1520-ZM-016</t>
  </si>
  <si>
    <t>1520-TK-002 (Part of) | 1520-ZM-013</t>
  </si>
  <si>
    <t>1520-TK-005</t>
  </si>
  <si>
    <t>1520-TK-007 (Part of) | 1520-AG-003</t>
  </si>
  <si>
    <t>1520-TW-001 (Part of) | 1520-DI-003</t>
  </si>
  <si>
    <t>1520-TW-001 (Part of) | 1520-FL-002</t>
  </si>
  <si>
    <t>1520-TW-001 (Part of) | 1520-N/A-003</t>
  </si>
  <si>
    <t>1520-TW-001 (Part of) | 1520-N/A-005</t>
  </si>
  <si>
    <t>1520-TW-001 (Part of) | 1520-ZM-008</t>
  </si>
  <si>
    <t>1520-TW-002 (Part of) | 1520-DI-004</t>
  </si>
  <si>
    <t>1520-TW-002 (Part of) | 1520-FL-004</t>
  </si>
  <si>
    <t>1520-TW-002 (Part of) | 1520-N/A-004</t>
  </si>
  <si>
    <t>1520-TW-002 (Part of) | 1520-N/A-009</t>
  </si>
  <si>
    <t>1520-TW-002 (Part of) | 1520-ZM-010</t>
  </si>
  <si>
    <t>1520-TW-003 (Part of) | 1520-DI-002</t>
  </si>
  <si>
    <t>1520-TW-003 (Part of) | 1520-FL-003</t>
  </si>
  <si>
    <t>1520-TW-003 (Part of) | 1520-N/A-018</t>
  </si>
  <si>
    <t>1520-TW-003 (Part of) | 1520-N/A-021</t>
  </si>
  <si>
    <t>1520-TW-003 (Part of) | 1520-ZM-002</t>
  </si>
  <si>
    <t>1530-ES-001</t>
  </si>
  <si>
    <t>1530-GB-001/002</t>
  </si>
  <si>
    <t>1530-PP-001/002</t>
  </si>
  <si>
    <t>1530-SR-001 (Part of) | 1530-FL-001</t>
  </si>
  <si>
    <t>1530-SR-001 (Part of) | 1530-FL-002</t>
  </si>
  <si>
    <t>1530-SR-001 (Part of) | 1530-ZM-001</t>
  </si>
  <si>
    <t>1530-SR-001 (Part of) | 1530-ZM-002</t>
  </si>
  <si>
    <t>1530-SR-001 (Part of) | 1530-ZM-004</t>
  </si>
  <si>
    <t>1530-SR-001 (Part of) | 1530-ZM-005</t>
  </si>
  <si>
    <t>1530-SR-001 (Part of) | 1530-ZM-006</t>
  </si>
  <si>
    <t>1530-ST-001</t>
  </si>
  <si>
    <t>1540-CO-002</t>
  </si>
  <si>
    <t>1540-CO-003</t>
  </si>
  <si>
    <t>1540-CO-009</t>
  </si>
  <si>
    <t>1540-GB-001 (Part of) | 1540-HX-010</t>
  </si>
  <si>
    <t>1540-GB-001 (Part of) | 1540-PK-004-M1</t>
  </si>
  <si>
    <t>1540-GB-001 (Part of) | 1540-PK-005</t>
  </si>
  <si>
    <t>1540-GB-001 (Part of) | 1540-PK-007</t>
  </si>
  <si>
    <t>1540-GB-001 (Part of) | 1540-PP-008</t>
  </si>
  <si>
    <t>1540-GB-001 (Part of) | 1540-PP-009</t>
  </si>
  <si>
    <t>1540-HS-001</t>
  </si>
  <si>
    <t>1540-HX-001 (Part of) | 1540-N/A-009</t>
  </si>
  <si>
    <t>1540-HX-001 (Part of) | 1540-PV-003</t>
  </si>
  <si>
    <t>1540-HX-002 (Part of) | 1540-N/A-021</t>
  </si>
  <si>
    <t>1540-HX-003 (Part of) | 1540-N/A-010</t>
  </si>
  <si>
    <t>1540-HX-004</t>
  </si>
  <si>
    <t>1540-HX-005</t>
  </si>
  <si>
    <t>1540-HX-006</t>
  </si>
  <si>
    <t>1540-HX-007 (Part of) | 1540-N/A-011</t>
  </si>
  <si>
    <t>1540-HX-008 (Part of) | 1540-N/A-006</t>
  </si>
  <si>
    <t>1540-HX-009 (Part of) | 1540-N/A-007</t>
  </si>
  <si>
    <t>1540-PK-001 (Part of) | 1540-PK-003</t>
  </si>
  <si>
    <t>1540-PK-002 (Part of) | 1540-PP-020 / 21</t>
  </si>
  <si>
    <t>1540-PK-008</t>
  </si>
  <si>
    <t>1540-PK-009</t>
  </si>
  <si>
    <t>1540-PP-001</t>
  </si>
  <si>
    <t>1540-PP-017/018</t>
  </si>
  <si>
    <t>1540-PV-001</t>
  </si>
  <si>
    <t>1540-PV-002</t>
  </si>
  <si>
    <t>1540-RE-001 (Part of) | 1540-N/A-012</t>
  </si>
  <si>
    <t>1540-RE-001 (Part of) | 1540-N/A-014</t>
  </si>
  <si>
    <t>1540-RE-001 (Part of) | 1540-N/A-015</t>
  </si>
  <si>
    <t>1540-RE-001 (Part of) | 1540-N/A-016</t>
  </si>
  <si>
    <t>1540-RE-001 (Part of) | 1540-N/A-017</t>
  </si>
  <si>
    <t>1540-RE-001 (Part of) | 1540-N/A-018</t>
  </si>
  <si>
    <t>1540-RE-001 (Part of) | 1540-SN-001</t>
  </si>
  <si>
    <t>1540-TK-001</t>
  </si>
  <si>
    <t>1540-ZC-001</t>
  </si>
  <si>
    <t>1540-ZM-001 (Part of) | 1540-N/A-002</t>
  </si>
  <si>
    <t>1540-ZM-001 (Part of) | 1540-N/A-008</t>
  </si>
  <si>
    <t>1540-ZM-001 (Part of) | 1540-N/A-019</t>
  </si>
  <si>
    <t>1540-ZM-001 (Part of) | 1540-ZM-016~020</t>
  </si>
  <si>
    <t>1540-ZP-007</t>
  </si>
  <si>
    <t>1540-ZP-009</t>
  </si>
  <si>
    <t>1550-AR-001</t>
  </si>
  <si>
    <t>1550-AR-002</t>
  </si>
  <si>
    <t>1550-CT-001 (Part of) | 1550-ZE-001</t>
  </si>
  <si>
    <t>1550-ES-001</t>
  </si>
  <si>
    <t>1550-PK-001</t>
  </si>
  <si>
    <t>1550-PP-001/002</t>
  </si>
  <si>
    <t>1560-BO-001 (Part of) | 1560-FN-001</t>
  </si>
  <si>
    <t>1560-BO-001 (Part of) | 1560-PP-017 / 018</t>
  </si>
  <si>
    <t>1560-BO-001 (Part of) | 1560-PV-001</t>
  </si>
  <si>
    <t>1560-BO-001 (Part of) | 1560-ST-001</t>
  </si>
  <si>
    <t>1560-BO-001 (Part of) | 1560-TK-002</t>
  </si>
  <si>
    <t>1560-CD-001 (Part of) | 1560-PK-002</t>
  </si>
  <si>
    <t>1560-CD-001 (Part of) | 1560-PK-005</t>
  </si>
  <si>
    <t>1560-CD-001 (Part of) | 1560-TK-004</t>
  </si>
  <si>
    <t>1560-ES-001 ~ 003</t>
  </si>
  <si>
    <t>1560-PK-001 (Part of) | 1560-FE-001</t>
  </si>
  <si>
    <t>1560-PK-001 (Part of) | 1560-FL-001/002/003</t>
  </si>
  <si>
    <t>1560-PK-001 (Part of) | 1560-FL-001/002/003/004</t>
  </si>
  <si>
    <t>1560-PK-001 (Part of) | 1560-PK-003</t>
  </si>
  <si>
    <t>1560-PK-001 (Part of) | 1560-PK-004</t>
  </si>
  <si>
    <t>1560-PK-001 (Part of) | 1560-PK-006</t>
  </si>
  <si>
    <t>1560-PK-001 (Part of) | 1560-RO-001/002/003/004</t>
  </si>
  <si>
    <t>1560-PK-001 (Part of) | 1560-TK-003</t>
  </si>
  <si>
    <t>1560-PK-007 (Part of) | 1560-PP-008 / 009</t>
  </si>
  <si>
    <t>1560-PK-009</t>
  </si>
  <si>
    <t>1560-PP-006/007</t>
  </si>
  <si>
    <t>1560-PP-010/011</t>
  </si>
  <si>
    <t>1560-PP-012/013</t>
  </si>
  <si>
    <t>1560-PP-015/016</t>
  </si>
  <si>
    <t>1560-PP-019/020</t>
  </si>
  <si>
    <t>1560-PP-021/022</t>
  </si>
  <si>
    <t>1560-TG-001 (Part of) | 1560-PK-008</t>
  </si>
  <si>
    <t>1560-TK-001</t>
  </si>
  <si>
    <t>1560-TK-005</t>
  </si>
  <si>
    <t>1560-ZC-002</t>
  </si>
  <si>
    <t>1570-ES-001 ~ 004</t>
  </si>
  <si>
    <t>1570-PP-001/002</t>
  </si>
  <si>
    <t>1570-PP-003/004</t>
  </si>
  <si>
    <t>1570-PP-005/006</t>
  </si>
  <si>
    <t>1570-PP-007</t>
  </si>
  <si>
    <t>1570-TK-001/002</t>
  </si>
  <si>
    <t>1570-TK-003</t>
  </si>
  <si>
    <t>1570-ZM-001 / 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</si>
</sst>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name val="Calibri"/>
      <family val="2"/>
      <scheme val="minor"/>
    </font>
    <font>
      <strike/>
      <sz val="12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i/>
      <sz val="12"/>
      <name val="Calibri"/>
      <family val="2"/>
      <scheme val="minor"/>
    </font>
    <font>
      <b/>
      <i/>
      <strike/>
      <sz val="12"/>
      <name val="Calibri"/>
      <family val="2"/>
      <scheme val="minor"/>
    </font>
    <font>
      <b/>
      <strike/>
      <sz val="12"/>
      <name val="Calibri"/>
      <family val="2"/>
      <scheme val="minor"/>
    </font>
    <font>
      <b/>
      <sz val="8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vertAlign val="superscript"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13">
    <xf numFmtId="0" fontId="0" fillId="0" borderId="0"/>
    <xf numFmtId="43" fontId="8" fillId="0" borderId="0" applyFont="0" applyFill="0" applyBorder="0" applyAlignment="0" applyProtection="0"/>
    <xf numFmtId="0" fontId="11" fillId="0" borderId="0"/>
    <xf numFmtId="0" fontId="11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80">
    <xf numFmtId="0" fontId="0" fillId="0" borderId="0" xfId="0"/>
    <xf numFmtId="0" fontId="7" fillId="2" borderId="2" xfId="0" applyFont="1" applyFill="1" applyBorder="1" applyAlignment="1">
      <alignment horizontal="center" vertical="center" wrapText="1"/>
    </xf>
    <xf numFmtId="3" fontId="7" fillId="2" borderId="3" xfId="1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left" vertical="center" wrapText="1"/>
    </xf>
    <xf numFmtId="49" fontId="7" fillId="2" borderId="11" xfId="0" applyNumberFormat="1" applyFont="1" applyFill="1" applyBorder="1" applyAlignment="1">
      <alignment horizontal="left" vertical="center" wrapText="1"/>
    </xf>
    <xf numFmtId="1" fontId="7" fillId="2" borderId="17" xfId="0" applyNumberFormat="1" applyFont="1" applyFill="1" applyBorder="1" applyAlignment="1">
      <alignment horizontal="center" vertical="center" wrapText="1"/>
    </xf>
    <xf numFmtId="164" fontId="7" fillId="2" borderId="3" xfId="1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quotePrefix="1" applyFont="1" applyFill="1" applyBorder="1" applyAlignment="1">
      <alignment horizontal="left" vertical="center" wrapText="1"/>
    </xf>
    <xf numFmtId="0" fontId="7" fillId="2" borderId="2" xfId="0" quotePrefix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49" fontId="7" fillId="2" borderId="2" xfId="0" applyNumberFormat="1" applyFont="1" applyFill="1" applyBorder="1" applyAlignment="1">
      <alignment horizontal="left" vertical="center" wrapText="1"/>
    </xf>
    <xf numFmtId="49" fontId="7" fillId="2" borderId="2" xfId="0" quotePrefix="1" applyNumberFormat="1" applyFont="1" applyFill="1" applyBorder="1" applyAlignment="1">
      <alignment horizontal="left" vertical="center" wrapText="1" indent="3"/>
    </xf>
    <xf numFmtId="16" fontId="7" fillId="2" borderId="2" xfId="0" quotePrefix="1" applyNumberFormat="1" applyFont="1" applyFill="1" applyBorder="1" applyAlignment="1">
      <alignment horizontal="center" vertical="center" wrapText="1"/>
    </xf>
    <xf numFmtId="49" fontId="7" fillId="2" borderId="2" xfId="0" quotePrefix="1" applyNumberFormat="1" applyFont="1" applyFill="1" applyBorder="1" applyAlignment="1">
      <alignment horizontal="left" vertical="center" wrapText="1"/>
    </xf>
    <xf numFmtId="17" fontId="7" fillId="2" borderId="2" xfId="0" quotePrefix="1" applyNumberFormat="1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left" vertical="center" wrapText="1"/>
    </xf>
    <xf numFmtId="49" fontId="13" fillId="2" borderId="2" xfId="0" quotePrefix="1" applyNumberFormat="1" applyFont="1" applyFill="1" applyBorder="1" applyAlignment="1">
      <alignment horizontal="left" vertical="center" wrapText="1" indent="3"/>
    </xf>
    <xf numFmtId="0" fontId="13" fillId="2" borderId="0" xfId="0" applyFont="1" applyFill="1" applyAlignment="1">
      <alignment horizontal="center" vertical="center" wrapText="1"/>
    </xf>
    <xf numFmtId="3" fontId="7" fillId="2" borderId="15" xfId="1" applyNumberFormat="1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3" fontId="13" fillId="2" borderId="15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49" fontId="13" fillId="2" borderId="2" xfId="0" applyNumberFormat="1" applyFont="1" applyFill="1" applyBorder="1" applyAlignment="1">
      <alignment horizontal="left" vertical="center" wrapText="1"/>
    </xf>
    <xf numFmtId="0" fontId="13" fillId="2" borderId="17" xfId="0" applyFont="1" applyFill="1" applyBorder="1" applyAlignment="1">
      <alignment horizontal="center" vertical="center" wrapText="1"/>
    </xf>
    <xf numFmtId="3" fontId="7" fillId="2" borderId="3" xfId="0" applyNumberFormat="1" applyFont="1" applyFill="1" applyBorder="1" applyAlignment="1">
      <alignment horizontal="center" vertical="center" wrapText="1"/>
    </xf>
    <xf numFmtId="3" fontId="13" fillId="2" borderId="3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3" fontId="7" fillId="2" borderId="15" xfId="0" applyNumberFormat="1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left" vertical="center" wrapText="1" indent="3"/>
    </xf>
    <xf numFmtId="0" fontId="17" fillId="2" borderId="2" xfId="0" applyFont="1" applyFill="1" applyBorder="1" applyAlignment="1">
      <alignment horizontal="center" vertical="center" wrapText="1"/>
    </xf>
    <xf numFmtId="1" fontId="13" fillId="2" borderId="17" xfId="0" applyNumberFormat="1" applyFont="1" applyFill="1" applyBorder="1" applyAlignment="1">
      <alignment horizontal="center" vertical="center" wrapText="1"/>
    </xf>
    <xf numFmtId="3" fontId="7" fillId="2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/>
    </xf>
    <xf numFmtId="1" fontId="7" fillId="2" borderId="2" xfId="1" applyNumberFormat="1" applyFont="1" applyFill="1" applyBorder="1" applyAlignment="1">
      <alignment horizontal="center" vertical="center" wrapText="1"/>
    </xf>
    <xf numFmtId="1" fontId="7" fillId="2" borderId="2" xfId="0" applyNumberFormat="1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left" vertical="center" wrapText="1"/>
    </xf>
    <xf numFmtId="49" fontId="12" fillId="2" borderId="2" xfId="0" applyNumberFormat="1" applyFont="1" applyFill="1" applyBorder="1" applyAlignment="1">
      <alignment horizontal="left" vertical="center" wrapText="1"/>
    </xf>
    <xf numFmtId="1" fontId="12" fillId="2" borderId="17" xfId="0" applyNumberFormat="1" applyFont="1" applyFill="1" applyBorder="1" applyAlignment="1">
      <alignment horizontal="center" vertical="center" wrapText="1"/>
    </xf>
    <xf numFmtId="3" fontId="12" fillId="2" borderId="15" xfId="1" applyNumberFormat="1" applyFont="1" applyFill="1" applyBorder="1" applyAlignment="1">
      <alignment horizontal="center" vertical="center" wrapText="1"/>
    </xf>
    <xf numFmtId="3" fontId="12" fillId="2" borderId="2" xfId="0" applyNumberFormat="1" applyFont="1" applyFill="1" applyBorder="1" applyAlignment="1">
      <alignment horizontal="left" vertical="center" wrapText="1"/>
    </xf>
    <xf numFmtId="3" fontId="12" fillId="2" borderId="3" xfId="0" applyNumberFormat="1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left" vertical="center" wrapText="1"/>
    </xf>
    <xf numFmtId="49" fontId="7" fillId="2" borderId="4" xfId="0" applyNumberFormat="1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left" vertical="center" wrapText="1"/>
    </xf>
    <xf numFmtId="49" fontId="7" fillId="2" borderId="19" xfId="0" applyNumberFormat="1" applyFont="1" applyFill="1" applyBorder="1" applyAlignment="1">
      <alignment horizontal="left" vertical="center" wrapText="1"/>
    </xf>
    <xf numFmtId="1" fontId="7" fillId="2" borderId="21" xfId="0" applyNumberFormat="1" applyFont="1" applyFill="1" applyBorder="1" applyAlignment="1">
      <alignment horizontal="center" vertical="center" wrapText="1"/>
    </xf>
    <xf numFmtId="3" fontId="7" fillId="2" borderId="5" xfId="0" applyNumberFormat="1" applyFont="1" applyFill="1" applyBorder="1" applyAlignment="1">
      <alignment horizontal="center" vertical="center" wrapText="1"/>
    </xf>
    <xf numFmtId="0" fontId="7" fillId="2" borderId="19" xfId="0" quotePrefix="1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1" fontId="7" fillId="2" borderId="20" xfId="0" applyNumberFormat="1" applyFont="1" applyFill="1" applyBorder="1" applyAlignment="1">
      <alignment horizontal="center" vertical="center" wrapText="1"/>
    </xf>
    <xf numFmtId="3" fontId="7" fillId="2" borderId="6" xfId="1" applyNumberFormat="1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left" vertical="center" wrapText="1"/>
    </xf>
    <xf numFmtId="1" fontId="7" fillId="2" borderId="4" xfId="0" applyNumberFormat="1" applyFont="1" applyFill="1" applyBorder="1" applyAlignment="1">
      <alignment horizontal="center" vertical="center" wrapText="1"/>
    </xf>
    <xf numFmtId="0" fontId="7" fillId="2" borderId="13" xfId="0" quotePrefix="1" applyFont="1" applyFill="1" applyBorder="1" applyAlignment="1">
      <alignment horizontal="center" vertical="center" wrapText="1"/>
    </xf>
    <xf numFmtId="164" fontId="7" fillId="2" borderId="15" xfId="1" applyNumberFormat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left" wrapText="1"/>
    </xf>
  </cellXfs>
  <cellStyles count="13">
    <cellStyle name="Comma" xfId="1" builtinId="3"/>
    <cellStyle name="Normal" xfId="0" builtinId="0"/>
    <cellStyle name="Normal 2" xfId="2" xr:uid="{F0DCD941-5739-4551-B0EE-72D55D86C012}"/>
    <cellStyle name="Normal 2 2" xfId="3" xr:uid="{FEE2BC22-10BD-460D-BC4A-6305CFF77C73}"/>
    <cellStyle name="Normal 2 3" xfId="8" xr:uid="{9BA4E2F5-342D-4A2F-B0D3-AC80C7632530}"/>
    <cellStyle name="Normal 2 3 2" xfId="11" xr:uid="{B2B455E8-8170-4C4D-90AC-DAA7C27649DB}"/>
    <cellStyle name="Normal 3" xfId="4" xr:uid="{2AF364C2-57AF-4B2E-B3DB-3DA8EFA8CEFD}"/>
    <cellStyle name="Normal 4" xfId="5" xr:uid="{9D9D0D2A-C333-4427-A24A-5550C5C6F819}"/>
    <cellStyle name="Normal 4 2" xfId="6" xr:uid="{66A4BEB5-CFB3-4105-89FC-EB9F8D43967D}"/>
    <cellStyle name="Normal 4 2 2" xfId="7" xr:uid="{978AC571-A121-4856-9DE3-7B527A8BA7FC}"/>
    <cellStyle name="Normal 4 2 2 2" xfId="9" xr:uid="{551184A5-B06B-410A-95ED-E73868828E26}"/>
    <cellStyle name="Normal 4 2 2 2 2" xfId="12" xr:uid="{F3381476-9FC7-4376-A385-6637A1D6B108}"/>
    <cellStyle name="Normal 4 3" xfId="10" xr:uid="{A90CBEC5-4F75-4F64-B4CD-9ED318BF318C}"/>
  </cellStyles>
  <dxfs count="0"/>
  <tableStyles count="0" defaultTableStyle="TableStyleMedium2" defaultPivotStyle="PivotStyleLight16"/>
  <colors>
    <mruColors>
      <color rgb="FFF78BE2"/>
      <color rgb="FF12E61D"/>
      <color rgb="FFFFC9C9"/>
      <color rgb="FF69F00A"/>
      <color rgb="FFFAD4F2"/>
      <color rgb="FFFA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customXml" Target="../customXml/item3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microsoft.com/office/2017/10/relationships/person" Target="persons/person.xml"/><Relationship Id="rId30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hbc8954\Local%20Settings\Temporary%20Internet%20Files\OLK8\Gearbox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dat\engjobs\WIP\CABGOC-NembaProgram\ARCHIVE\6-Controls\04-EstPrep\2990-60400-00045-Ph4NewPlatCE-Ang-2MobHPC\2990-60400-00045-B-Ph4CEPlat2MoHPCExistANGPilesOnly_T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dat\engjobs\Engr\CLIENTS\Texaco\H636\Phase%2030%20-%20Mechanical\Equipment\Compressor\Startup%20Study\Engr\EDG%20Programs\Instrument%20specs\SPECITE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NET\MTRCAL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AA0NTDFS1.LUAA0.CHEVRONTEXACO.NET\SHARE\Copi\Block%200\Common\Reserves\2001\General\SMOG\01kokong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dat\engjobs\Proj-Ctrls\Blind%20Faith%20Risk\Active%20Projects\Pioneer\Risk\Olowi%20Risk%20Input%20(Rev%20P21%20Final)%20-%20Rev%20A5%20Tes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p-my.sharepoint.com/LOCALS~1/Temp/Xl000012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skkundu\Local%20Settings\Temporary%20Internet%20Files\OLK5\FW%20Pump%20Spec%20&amp;%20Data%20Sht\01-MDS-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dat\engjobs\Proj-Ctrls\Blind%20Faith%20Risk\Active%20Projects\Blind%20Faith\Risk%20Analysis\Estimate\Blind%20Faith%20Risk%20Cost%20Template%20P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p-my.sharepoint.com/DOCUME~1/zerobson/LOCALS~1/Temp/GOBY-SWLift_Pump_Calc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aa0ntdfs1.luaa0.chevrontexaco.net\share\COPI\Luanda\RM\PetEng\B&amp;C\B%20Plan\2003\Production\Scenario\Sanha\B%20Plan%202003%20Sanha%20F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aa0ntdfs1.luaa0.chevrontexaco.net\share\COPI\Luanda\Data%20from%20Malongo-Pe%20&amp;%20Ge\PetEng\B&amp;C\2003%20BP\Production\Scenario\Sanha\B%20Plan%202003%20Sanha%20FC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d-share1\Share\Copi\Block%200\Common\Reserves\2001\General\SMOG\01koko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at\tdrive\NOEFS\Jobs\Estimating%20Dept\South%20Nemba\Phase%203B\SNem%20Ph%203%20Electrical%20Bill%20of%20Material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dat\engjobs\Proj-Ctrls\Blind%20Faith%20Risk\Blind%20Faith%20Risk%20Input%20Summary%20-%20Rev%200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WINTEMP\WINDOWS\BILAL2.XL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ne\DISCP\WORKING\PR\DATA\UDS\CHEM_INJ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NFILE004\DATA\WINDOWS\TEMP\V-1002E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DAT\Engjobs\Work-In-Progress%20Area\GTA%20Project\2494%20-%20GFHT\Engineering\Process%20Mechanical\Studies\2003%20BP%20Forecast%20Impact\GFHT%20Model%20rev%2041a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dat\engjobs\WIP\CABGOC-SNembaAuxiliary\4136330-Re-EngDeliverables\20000-Facilities\21100-StudyDesignCalcs\ClsdLoopCoolingSyst\Junk\EquivalentLengths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NFILE008\DATA\Arne\DISCP\WORKING\MC\ENQUIRY\024PROW\DATASHT\DATA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dat\ms\Documents%20and%20Settings\rbev\Local%20Settings\Temp\Accrual%20Population%20and%20Testing%20Results%20Maste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PI613"/>
      <sheetName val="Notes"/>
      <sheetName val="Units"/>
      <sheetName val="hidden"/>
    </sheetNames>
    <sheetDataSet>
      <sheetData sheetId="0" refreshError="1"/>
      <sheetData sheetId="1"/>
      <sheetData sheetId="2" refreshError="1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Assumptions Log"/>
      <sheetName val="Phase 4 Cost Est"/>
      <sheetName val="Cash Flow - Total Project"/>
      <sheetName val="Escalation"/>
      <sheetName val="Project Summary"/>
      <sheetName val="Section 4.0 SNEM Valve List"/>
      <sheetName val="Section 4.0 NNEM Valve List"/>
      <sheetName val="Section 4.0 Lomba Valve List"/>
      <sheetName val="Section 4.0 SNEM Instr Index"/>
      <sheetName val="Section 4.0 NNEM Instr Index"/>
      <sheetName val="Section 4.0 Lomba Instr Index "/>
      <sheetName val="Section 4.0 SNEM SP Item Index"/>
      <sheetName val="Section 4.0 NNEM Spe Item Index"/>
      <sheetName val="Section 4.0 F&amp;G Safety Index"/>
      <sheetName val="Section 5.0 Electrical Bulk BOM"/>
      <sheetName val="Section 6.0 SNEMPipe BOM "/>
      <sheetName val="Section 6.0 Piping Hrs MOB 1"/>
      <sheetName val="Section 6.0 Piping Hrs Module"/>
      <sheetName val="Section 6.0 Piping Hrs MOB 2"/>
      <sheetName val="Section 6.0 NNEM BOM"/>
      <sheetName val="Section 6.0 Weight Estimates"/>
      <sheetName val="Section 6.0 Piping Hrs NNEM"/>
      <sheetName val="Onshore fab for Mob 1"/>
      <sheetName val="Onshore Fab Mob 2 "/>
      <sheetName val="Section 7.0"/>
      <sheetName val="Section 8.0 Offshore Demo Hrs"/>
      <sheetName val="Section 8.0 Offshore Mob 1 Hrs"/>
      <sheetName val="Section 8.0 Offshore Mob 2 Hrs"/>
      <sheetName val="Section 8.0 North Nemba Mob2Hrs"/>
      <sheetName val="Section 8.0 Lomba Hr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ment Tag(s)"/>
      <sheetName val="Dialog1"/>
      <sheetName val="Notes"/>
      <sheetName val="Module1"/>
      <sheetName val="SPECITEM"/>
    </sheetNames>
    <definedNames>
      <definedName name="ButtonSp_Click"/>
    </defined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RCALC"/>
    </sheetNames>
    <definedNames>
      <definedName name="calc.Orifaga"/>
      <definedName name="calc.RKCompress"/>
      <definedName name="calc.Round16down"/>
      <definedName name="calc.Round16up"/>
    </defined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"/>
      <sheetName val="Current"/>
      <sheetName val="Tax"/>
      <sheetName val="RS1"/>
      <sheetName val="RS2"/>
      <sheetName val="RS3"/>
      <sheetName val="RS4"/>
      <sheetName val="RS5"/>
      <sheetName val="RS6"/>
      <sheetName val="Prior"/>
      <sheetName val="Recon"/>
      <sheetName val="Summary"/>
      <sheetName val="Analysis"/>
      <sheetName val="Print Pages"/>
      <sheetName val="Basis &amp; Assum"/>
    </sheetNames>
    <sheetDataSet>
      <sheetData sheetId="0">
        <row r="3">
          <cell r="E3" t="str">
            <v>COPI</v>
          </cell>
        </row>
        <row r="4">
          <cell r="E4" t="str">
            <v>SOUTHERN AFRICA</v>
          </cell>
        </row>
        <row r="5">
          <cell r="E5" t="str">
            <v>ANGOLA</v>
          </cell>
        </row>
        <row r="6">
          <cell r="E6">
            <v>2001</v>
          </cell>
        </row>
        <row r="7">
          <cell r="E7" t="str">
            <v>KOKONGO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Input Ranges"/>
      <sheetName val="S Curve"/>
      <sheetName val="Sensitivity Chart"/>
      <sheetName val="Sensitivity Data"/>
      <sheetName val="S Curve Data"/>
      <sheetName val="Cover Sheet"/>
      <sheetName val="Change Log"/>
      <sheetName val="Assumptions Log"/>
      <sheetName val="Exec Sum"/>
      <sheetName val="A Platform"/>
      <sheetName val="B Platform"/>
      <sheetName val="C Platform"/>
      <sheetName val="D Platform"/>
      <sheetName val="Pipelines"/>
      <sheetName val="FSO"/>
      <sheetName val="Tax Basis"/>
      <sheetName val="3.C-VendRep"/>
      <sheetName val="3.C-FabTeam"/>
      <sheetName val="3.C-TI&amp;HUC"/>
      <sheetName val="#REF"/>
      <sheetName val="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5">
          <cell r="B5" t="str">
            <v>G&amp;A</v>
          </cell>
          <cell r="D5">
            <v>0</v>
          </cell>
          <cell r="H5">
            <v>0</v>
          </cell>
        </row>
        <row r="7">
          <cell r="B7" t="str">
            <v>Cont</v>
          </cell>
          <cell r="D7">
            <v>0.15</v>
          </cell>
          <cell r="H7">
            <v>8477903.9380649123</v>
          </cell>
        </row>
        <row r="9">
          <cell r="H9">
            <v>56519359.587099418</v>
          </cell>
        </row>
        <row r="11">
          <cell r="G11" t="str">
            <v xml:space="preserve"> </v>
          </cell>
          <cell r="H11" t="str">
            <v xml:space="preserve"> </v>
          </cell>
        </row>
        <row r="13">
          <cell r="D13" t="str">
            <v xml:space="preserve"> </v>
          </cell>
          <cell r="H13">
            <v>0</v>
          </cell>
        </row>
        <row r="14">
          <cell r="B14" t="str">
            <v>Esc</v>
          </cell>
          <cell r="D14">
            <v>1</v>
          </cell>
          <cell r="G14">
            <v>0</v>
          </cell>
        </row>
        <row r="15">
          <cell r="B15" t="str">
            <v>Esc</v>
          </cell>
          <cell r="D15">
            <v>1</v>
          </cell>
          <cell r="G15">
            <v>0</v>
          </cell>
        </row>
        <row r="16">
          <cell r="B16" t="str">
            <v>Esc</v>
          </cell>
          <cell r="D16">
            <v>1</v>
          </cell>
          <cell r="G16">
            <v>0</v>
          </cell>
        </row>
        <row r="17">
          <cell r="B17" t="str">
            <v>Esc</v>
          </cell>
          <cell r="D17">
            <v>1</v>
          </cell>
          <cell r="G17">
            <v>0</v>
          </cell>
        </row>
        <row r="19">
          <cell r="B19" t="str">
            <v>Insr</v>
          </cell>
          <cell r="D19">
            <v>0.03</v>
          </cell>
          <cell r="H19">
            <v>1646194.9394300799</v>
          </cell>
        </row>
        <row r="21">
          <cell r="B21" t="str">
            <v>Atax</v>
          </cell>
          <cell r="D21">
            <v>0</v>
          </cell>
          <cell r="H21">
            <v>0</v>
          </cell>
        </row>
        <row r="23">
          <cell r="B23" t="str">
            <v>Safe</v>
          </cell>
          <cell r="D23">
            <v>0</v>
          </cell>
          <cell r="H23">
            <v>0</v>
          </cell>
        </row>
        <row r="25">
          <cell r="G25" t="str">
            <v xml:space="preserve"> </v>
          </cell>
          <cell r="H25" t="str">
            <v xml:space="preserve"> </v>
          </cell>
        </row>
        <row r="27">
          <cell r="H27">
            <v>0</v>
          </cell>
        </row>
        <row r="28">
          <cell r="B28" t="str">
            <v>ProjPer</v>
          </cell>
          <cell r="D28">
            <v>0</v>
          </cell>
          <cell r="G28">
            <v>0</v>
          </cell>
        </row>
        <row r="30">
          <cell r="H30">
            <v>5512906.0215360001</v>
          </cell>
        </row>
        <row r="31">
          <cell r="B31" t="str">
            <v>FEED</v>
          </cell>
          <cell r="D31">
            <v>0</v>
          </cell>
          <cell r="G31">
            <v>0</v>
          </cell>
        </row>
        <row r="32">
          <cell r="B32" t="str">
            <v>DDE</v>
          </cell>
          <cell r="D32">
            <v>0.08</v>
          </cell>
          <cell r="G32">
            <v>3675270.681024</v>
          </cell>
        </row>
        <row r="33">
          <cell r="B33" t="str">
            <v>PMT</v>
          </cell>
          <cell r="D33">
            <v>0.03</v>
          </cell>
          <cell r="G33">
            <v>1378226.505384</v>
          </cell>
        </row>
        <row r="34">
          <cell r="B34" t="str">
            <v>ConsSpt</v>
          </cell>
          <cell r="D34">
            <v>0.01</v>
          </cell>
          <cell r="G34">
            <v>459408.83512800001</v>
          </cell>
        </row>
        <row r="36">
          <cell r="H36">
            <v>2519375.1133333333</v>
          </cell>
        </row>
        <row r="37">
          <cell r="B37" t="str">
            <v>Insp</v>
          </cell>
          <cell r="D37">
            <v>1</v>
          </cell>
          <cell r="G37">
            <v>457588</v>
          </cell>
        </row>
        <row r="38">
          <cell r="B38" t="str">
            <v>Insp</v>
          </cell>
          <cell r="D38">
            <v>1</v>
          </cell>
          <cell r="G38">
            <v>1147149.7799999998</v>
          </cell>
        </row>
        <row r="39">
          <cell r="B39" t="str">
            <v>Insp</v>
          </cell>
          <cell r="D39">
            <v>1</v>
          </cell>
          <cell r="G39">
            <v>914637.33333333337</v>
          </cell>
        </row>
        <row r="41">
          <cell r="H41">
            <v>0</v>
          </cell>
        </row>
        <row r="42">
          <cell r="B42" t="str">
            <v>Trvl</v>
          </cell>
          <cell r="D42">
            <v>0</v>
          </cell>
          <cell r="G42">
            <v>0</v>
          </cell>
        </row>
        <row r="43">
          <cell r="B43" t="str">
            <v>Trvl</v>
          </cell>
          <cell r="D43">
            <v>0</v>
          </cell>
          <cell r="G43">
            <v>0</v>
          </cell>
        </row>
        <row r="44">
          <cell r="B44" t="str">
            <v>Trvl</v>
          </cell>
          <cell r="D44">
            <v>0</v>
          </cell>
          <cell r="G44">
            <v>0</v>
          </cell>
        </row>
        <row r="46">
          <cell r="H46">
            <v>900000</v>
          </cell>
        </row>
        <row r="47">
          <cell r="B47" t="str">
            <v>Sstud</v>
          </cell>
          <cell r="D47">
            <v>0</v>
          </cell>
          <cell r="G47">
            <v>0</v>
          </cell>
        </row>
        <row r="48">
          <cell r="B48" t="str">
            <v>Sstud</v>
          </cell>
          <cell r="D48">
            <v>1</v>
          </cell>
          <cell r="G48">
            <v>400000</v>
          </cell>
        </row>
        <row r="49">
          <cell r="B49" t="str">
            <v>Sstud</v>
          </cell>
          <cell r="D49">
            <v>1</v>
          </cell>
          <cell r="G49">
            <v>500000</v>
          </cell>
        </row>
        <row r="52">
          <cell r="G52" t="str">
            <v xml:space="preserve"> </v>
          </cell>
        </row>
        <row r="54">
          <cell r="H54">
            <v>618800</v>
          </cell>
        </row>
        <row r="55">
          <cell r="B55" t="str">
            <v>ZZZ-4100</v>
          </cell>
          <cell r="D55">
            <v>1</v>
          </cell>
          <cell r="G55">
            <v>595000</v>
          </cell>
        </row>
        <row r="56">
          <cell r="B56" t="str">
            <v>BBC-4100</v>
          </cell>
        </row>
        <row r="57">
          <cell r="B57" t="str">
            <v>HBE-4101</v>
          </cell>
        </row>
        <row r="58">
          <cell r="B58" t="str">
            <v>HBE-4102</v>
          </cell>
        </row>
        <row r="59">
          <cell r="B59" t="str">
            <v>HBE-4103</v>
          </cell>
        </row>
        <row r="60">
          <cell r="B60" t="str">
            <v>HBG-4110</v>
          </cell>
        </row>
        <row r="61">
          <cell r="B61" t="str">
            <v>HBG-4115</v>
          </cell>
        </row>
        <row r="62">
          <cell r="B62" t="str">
            <v>MBD-4120</v>
          </cell>
        </row>
        <row r="63">
          <cell r="B63" t="str">
            <v>MAJ-4130</v>
          </cell>
        </row>
        <row r="64">
          <cell r="B64" t="str">
            <v>MAJ-4135</v>
          </cell>
        </row>
        <row r="65">
          <cell r="B65" t="str">
            <v>PBE-4141</v>
          </cell>
        </row>
        <row r="66">
          <cell r="B66" t="str">
            <v>PBE-4142</v>
          </cell>
        </row>
        <row r="67">
          <cell r="B67" t="str">
            <v>QAQC</v>
          </cell>
          <cell r="D67">
            <v>0.02</v>
          </cell>
          <cell r="G67">
            <v>11900</v>
          </cell>
        </row>
        <row r="68">
          <cell r="B68" t="str">
            <v>Sprs</v>
          </cell>
          <cell r="D68">
            <v>0.02</v>
          </cell>
          <cell r="G68">
            <v>11900</v>
          </cell>
        </row>
        <row r="69">
          <cell r="D69">
            <v>0</v>
          </cell>
          <cell r="G69">
            <v>0</v>
          </cell>
        </row>
        <row r="71">
          <cell r="H71">
            <v>0</v>
          </cell>
        </row>
        <row r="72">
          <cell r="B72" t="str">
            <v>PBE-4143</v>
          </cell>
          <cell r="G72">
            <v>0</v>
          </cell>
        </row>
        <row r="73">
          <cell r="B73" t="str">
            <v>QAQC</v>
          </cell>
          <cell r="D73">
            <v>0.02</v>
          </cell>
          <cell r="G73">
            <v>0</v>
          </cell>
        </row>
        <row r="74">
          <cell r="D74">
            <v>0.02</v>
          </cell>
          <cell r="G74">
            <v>0</v>
          </cell>
        </row>
        <row r="75">
          <cell r="D75">
            <v>0</v>
          </cell>
          <cell r="G75">
            <v>0</v>
          </cell>
        </row>
        <row r="77">
          <cell r="H77">
            <v>178880</v>
          </cell>
        </row>
        <row r="78">
          <cell r="B78" t="str">
            <v>ZZZ-4170</v>
          </cell>
          <cell r="D78">
            <v>1</v>
          </cell>
          <cell r="G78">
            <v>172000</v>
          </cell>
        </row>
        <row r="79">
          <cell r="B79" t="str">
            <v>ABH-4170</v>
          </cell>
        </row>
        <row r="80">
          <cell r="B80" t="str">
            <v>PBE-4171</v>
          </cell>
        </row>
        <row r="81">
          <cell r="B81" t="str">
            <v>PBE-4172</v>
          </cell>
        </row>
        <row r="82">
          <cell r="B82" t="str">
            <v>PBE-4173</v>
          </cell>
        </row>
        <row r="83">
          <cell r="B83" t="str">
            <v>MAJ-4174</v>
          </cell>
        </row>
        <row r="84">
          <cell r="B84" t="str">
            <v>MAJ-4175</v>
          </cell>
        </row>
        <row r="85">
          <cell r="B85" t="str">
            <v>QAQC</v>
          </cell>
          <cell r="D85">
            <v>0.02</v>
          </cell>
          <cell r="G85">
            <v>3440</v>
          </cell>
        </row>
        <row r="86">
          <cell r="B86" t="str">
            <v>Sprs</v>
          </cell>
          <cell r="D86">
            <v>0.02</v>
          </cell>
          <cell r="G86">
            <v>3440</v>
          </cell>
        </row>
        <row r="87">
          <cell r="D87">
            <v>0</v>
          </cell>
          <cell r="G87">
            <v>0</v>
          </cell>
        </row>
        <row r="89">
          <cell r="H89">
            <v>442904.80000000005</v>
          </cell>
        </row>
        <row r="90">
          <cell r="B90" t="str">
            <v>ZZZ-4310</v>
          </cell>
          <cell r="D90">
            <v>1</v>
          </cell>
          <cell r="G90">
            <v>425870</v>
          </cell>
        </row>
        <row r="91">
          <cell r="B91" t="str">
            <v>MBM-4310</v>
          </cell>
        </row>
        <row r="92">
          <cell r="B92" t="str">
            <v>QAQC</v>
          </cell>
          <cell r="D92">
            <v>0.02</v>
          </cell>
          <cell r="G92">
            <v>8517.4</v>
          </cell>
        </row>
        <row r="93">
          <cell r="D93">
            <v>0.02</v>
          </cell>
          <cell r="G93">
            <v>8517.4</v>
          </cell>
        </row>
        <row r="94">
          <cell r="D94">
            <v>0</v>
          </cell>
          <cell r="G94">
            <v>0</v>
          </cell>
        </row>
        <row r="96">
          <cell r="H96">
            <v>411810.88</v>
          </cell>
        </row>
        <row r="97">
          <cell r="B97" t="str">
            <v>ZZZ-4320</v>
          </cell>
          <cell r="D97">
            <v>1</v>
          </cell>
          <cell r="G97">
            <v>395972</v>
          </cell>
        </row>
        <row r="98">
          <cell r="B98" t="str">
            <v>ABM-4320</v>
          </cell>
        </row>
        <row r="99">
          <cell r="B99" t="str">
            <v>PBE-4321</v>
          </cell>
        </row>
        <row r="100">
          <cell r="B100" t="str">
            <v>PBE-4322</v>
          </cell>
        </row>
        <row r="101">
          <cell r="B101" t="str">
            <v>PBA-4325</v>
          </cell>
        </row>
        <row r="102">
          <cell r="B102" t="str">
            <v>PBA-4326</v>
          </cell>
        </row>
        <row r="103">
          <cell r="B103" t="str">
            <v>MAJ-4327, 4328</v>
          </cell>
        </row>
        <row r="104">
          <cell r="B104" t="str">
            <v>MAJ-4328</v>
          </cell>
        </row>
        <row r="105">
          <cell r="B105" t="str">
            <v>QAQC</v>
          </cell>
          <cell r="D105">
            <v>0.02</v>
          </cell>
          <cell r="G105">
            <v>7919.4400000000005</v>
          </cell>
        </row>
        <row r="106">
          <cell r="B106" t="str">
            <v>Sprs</v>
          </cell>
          <cell r="D106">
            <v>0.02</v>
          </cell>
          <cell r="G106">
            <v>7919.4400000000005</v>
          </cell>
        </row>
        <row r="107">
          <cell r="D107">
            <v>0</v>
          </cell>
          <cell r="G107">
            <v>0</v>
          </cell>
        </row>
        <row r="109">
          <cell r="H109">
            <v>135200</v>
          </cell>
        </row>
        <row r="110">
          <cell r="B110" t="str">
            <v>PBE-4331</v>
          </cell>
          <cell r="D110">
            <v>1</v>
          </cell>
          <cell r="G110">
            <v>130000</v>
          </cell>
        </row>
        <row r="111">
          <cell r="B111" t="str">
            <v>QAQC</v>
          </cell>
          <cell r="D111">
            <v>0.02</v>
          </cell>
          <cell r="G111">
            <v>2600</v>
          </cell>
        </row>
        <row r="112">
          <cell r="B112" t="str">
            <v>Sprs</v>
          </cell>
          <cell r="D112">
            <v>0.02</v>
          </cell>
          <cell r="G112">
            <v>2600</v>
          </cell>
        </row>
        <row r="113">
          <cell r="D113">
            <v>0</v>
          </cell>
          <cell r="G113">
            <v>0</v>
          </cell>
        </row>
        <row r="115">
          <cell r="H115">
            <v>135200</v>
          </cell>
        </row>
        <row r="116">
          <cell r="B116" t="str">
            <v>PBE-4332</v>
          </cell>
          <cell r="D116">
            <v>1</v>
          </cell>
          <cell r="G116">
            <v>130000</v>
          </cell>
        </row>
        <row r="117">
          <cell r="B117" t="str">
            <v>QAQC</v>
          </cell>
          <cell r="D117">
            <v>0.02</v>
          </cell>
          <cell r="G117">
            <v>2600</v>
          </cell>
        </row>
        <row r="118">
          <cell r="B118" t="str">
            <v>Sprs</v>
          </cell>
          <cell r="D118">
            <v>0.02</v>
          </cell>
          <cell r="G118">
            <v>2600</v>
          </cell>
        </row>
        <row r="119">
          <cell r="D119">
            <v>0</v>
          </cell>
          <cell r="G119">
            <v>0</v>
          </cell>
        </row>
        <row r="121">
          <cell r="H121">
            <v>135200</v>
          </cell>
        </row>
        <row r="122">
          <cell r="B122" t="str">
            <v>PBE-4333</v>
          </cell>
          <cell r="D122">
            <v>1</v>
          </cell>
          <cell r="G122">
            <v>130000</v>
          </cell>
        </row>
        <row r="123">
          <cell r="B123" t="str">
            <v>QAQC</v>
          </cell>
          <cell r="D123">
            <v>0.02</v>
          </cell>
          <cell r="G123">
            <v>2600</v>
          </cell>
        </row>
        <row r="124">
          <cell r="B124" t="str">
            <v>Sprs</v>
          </cell>
          <cell r="D124">
            <v>0.02</v>
          </cell>
          <cell r="G124">
            <v>2600</v>
          </cell>
        </row>
        <row r="125">
          <cell r="D125">
            <v>0</v>
          </cell>
          <cell r="G125">
            <v>0</v>
          </cell>
        </row>
        <row r="127">
          <cell r="H127">
            <v>218400</v>
          </cell>
        </row>
        <row r="128">
          <cell r="B128" t="str">
            <v>ZZZ-4335</v>
          </cell>
          <cell r="D128">
            <v>1</v>
          </cell>
          <cell r="G128">
            <v>210000</v>
          </cell>
        </row>
        <row r="129">
          <cell r="B129" t="str">
            <v>HBG-4335</v>
          </cell>
        </row>
        <row r="130">
          <cell r="B130" t="str">
            <v>HBG-4338</v>
          </cell>
        </row>
        <row r="131">
          <cell r="B131" t="str">
            <v>QAQC</v>
          </cell>
          <cell r="D131">
            <v>0.02</v>
          </cell>
          <cell r="G131">
            <v>4200</v>
          </cell>
        </row>
        <row r="132">
          <cell r="B132" t="str">
            <v>Sprs</v>
          </cell>
          <cell r="D132">
            <v>0.02</v>
          </cell>
          <cell r="G132">
            <v>4200</v>
          </cell>
        </row>
        <row r="133">
          <cell r="D133">
            <v>0</v>
          </cell>
          <cell r="G133">
            <v>0</v>
          </cell>
        </row>
        <row r="135">
          <cell r="H135">
            <v>1456000</v>
          </cell>
        </row>
        <row r="136">
          <cell r="B136" t="str">
            <v>ZZZ-4340</v>
          </cell>
          <cell r="D136">
            <v>1</v>
          </cell>
          <cell r="G136">
            <v>1400000</v>
          </cell>
        </row>
        <row r="137">
          <cell r="B137" t="str">
            <v>MAJ-4341</v>
          </cell>
        </row>
        <row r="138">
          <cell r="B138" t="str">
            <v>MAJ-4342</v>
          </cell>
        </row>
        <row r="139">
          <cell r="B139" t="str">
            <v>ZZZ-4345</v>
          </cell>
        </row>
        <row r="140">
          <cell r="B140" t="str">
            <v>QAQC</v>
          </cell>
          <cell r="D140">
            <v>0.02</v>
          </cell>
          <cell r="G140">
            <v>28000</v>
          </cell>
        </row>
        <row r="141">
          <cell r="B141" t="str">
            <v>Sprs</v>
          </cell>
          <cell r="D141">
            <v>0.02</v>
          </cell>
          <cell r="G141">
            <v>28000</v>
          </cell>
        </row>
        <row r="142">
          <cell r="D142">
            <v>0</v>
          </cell>
          <cell r="G142">
            <v>0</v>
          </cell>
        </row>
        <row r="144">
          <cell r="H144">
            <v>0</v>
          </cell>
        </row>
        <row r="145">
          <cell r="B145" t="str">
            <v>ZZZ-4350</v>
          </cell>
          <cell r="G145">
            <v>0</v>
          </cell>
        </row>
        <row r="146">
          <cell r="B146" t="str">
            <v>MAJ-4351</v>
          </cell>
        </row>
        <row r="147">
          <cell r="B147" t="str">
            <v>MAJ-4352</v>
          </cell>
        </row>
        <row r="148">
          <cell r="B148" t="str">
            <v>PZZ-4358</v>
          </cell>
        </row>
        <row r="149">
          <cell r="B149" t="str">
            <v>QAQC</v>
          </cell>
          <cell r="D149">
            <v>0.02</v>
          </cell>
          <cell r="G149">
            <v>0</v>
          </cell>
        </row>
        <row r="150">
          <cell r="B150" t="str">
            <v>Sprs</v>
          </cell>
          <cell r="D150">
            <v>0.02</v>
          </cell>
          <cell r="G150">
            <v>0</v>
          </cell>
        </row>
        <row r="151">
          <cell r="D151">
            <v>0</v>
          </cell>
          <cell r="G151">
            <v>0</v>
          </cell>
        </row>
        <row r="153">
          <cell r="H153">
            <v>0</v>
          </cell>
        </row>
        <row r="154">
          <cell r="B154" t="str">
            <v>ZZZ-4360</v>
          </cell>
          <cell r="G154">
            <v>0</v>
          </cell>
        </row>
        <row r="155">
          <cell r="B155" t="str">
            <v>MAF-4360</v>
          </cell>
        </row>
        <row r="156">
          <cell r="B156" t="str">
            <v>QAQC</v>
          </cell>
          <cell r="D156">
            <v>0.02</v>
          </cell>
          <cell r="G156">
            <v>0</v>
          </cell>
        </row>
        <row r="157">
          <cell r="B157" t="str">
            <v>Sprs</v>
          </cell>
          <cell r="D157">
            <v>0.02</v>
          </cell>
          <cell r="G157">
            <v>0</v>
          </cell>
        </row>
        <row r="158">
          <cell r="D158">
            <v>0</v>
          </cell>
          <cell r="G158">
            <v>0</v>
          </cell>
        </row>
        <row r="160">
          <cell r="H160">
            <v>217360</v>
          </cell>
        </row>
        <row r="161">
          <cell r="B161" t="str">
            <v>ZZZ-4370</v>
          </cell>
          <cell r="D161">
            <v>1</v>
          </cell>
          <cell r="G161">
            <v>209000</v>
          </cell>
        </row>
        <row r="162">
          <cell r="B162" t="str">
            <v>PBE-4371</v>
          </cell>
        </row>
        <row r="163">
          <cell r="B163" t="str">
            <v>PBE-4372</v>
          </cell>
        </row>
        <row r="164">
          <cell r="B164" t="str">
            <v>PBE-4373</v>
          </cell>
        </row>
        <row r="165">
          <cell r="B165" t="str">
            <v>QAQC</v>
          </cell>
          <cell r="D165">
            <v>0.02</v>
          </cell>
          <cell r="G165">
            <v>4180</v>
          </cell>
        </row>
        <row r="166">
          <cell r="B166" t="str">
            <v>Sprs</v>
          </cell>
          <cell r="D166">
            <v>0.02</v>
          </cell>
          <cell r="G166">
            <v>4180</v>
          </cell>
        </row>
        <row r="167">
          <cell r="D167">
            <v>0</v>
          </cell>
          <cell r="G167">
            <v>0</v>
          </cell>
        </row>
        <row r="169">
          <cell r="H169">
            <v>1050400</v>
          </cell>
        </row>
        <row r="170">
          <cell r="B170" t="str">
            <v>ZZZ-4380</v>
          </cell>
          <cell r="D170">
            <v>1</v>
          </cell>
          <cell r="G170">
            <v>1010000</v>
          </cell>
        </row>
        <row r="171">
          <cell r="B171" t="str">
            <v>PAX-4381</v>
          </cell>
        </row>
        <row r="172">
          <cell r="B172" t="str">
            <v>PAX-4382</v>
          </cell>
        </row>
        <row r="173">
          <cell r="B173" t="str">
            <v>PAX-4383</v>
          </cell>
        </row>
        <row r="174">
          <cell r="B174" t="str">
            <v>QAQC</v>
          </cell>
          <cell r="D174">
            <v>0.02</v>
          </cell>
          <cell r="G174">
            <v>20200</v>
          </cell>
        </row>
        <row r="175">
          <cell r="B175" t="str">
            <v>Sprs</v>
          </cell>
          <cell r="D175">
            <v>0.02</v>
          </cell>
          <cell r="G175">
            <v>20200</v>
          </cell>
        </row>
        <row r="176">
          <cell r="D176">
            <v>0</v>
          </cell>
          <cell r="G176">
            <v>0</v>
          </cell>
        </row>
        <row r="178">
          <cell r="H178">
            <v>652236</v>
          </cell>
        </row>
        <row r="179">
          <cell r="B179" t="str">
            <v>ZZZ-4400</v>
          </cell>
          <cell r="D179">
            <v>1</v>
          </cell>
          <cell r="G179">
            <v>627150</v>
          </cell>
        </row>
        <row r="180">
          <cell r="B180" t="str">
            <v>MBE-4410</v>
          </cell>
        </row>
        <row r="181">
          <cell r="B181" t="str">
            <v>MBE-4400</v>
          </cell>
        </row>
        <row r="182">
          <cell r="B182" t="str">
            <v>PBE-4411</v>
          </cell>
        </row>
        <row r="183">
          <cell r="B183" t="str">
            <v>PBE-4412</v>
          </cell>
        </row>
        <row r="184">
          <cell r="B184" t="str">
            <v>PBE-4401</v>
          </cell>
        </row>
        <row r="185">
          <cell r="B185" t="str">
            <v>PBE-4402</v>
          </cell>
        </row>
        <row r="186">
          <cell r="B186" t="str">
            <v>PBE-4403</v>
          </cell>
        </row>
        <row r="187">
          <cell r="B187" t="str">
            <v>PBE-4404</v>
          </cell>
        </row>
        <row r="188">
          <cell r="B188" t="str">
            <v>MAJ-4405</v>
          </cell>
        </row>
        <row r="189">
          <cell r="B189" t="str">
            <v>MAJ-4406</v>
          </cell>
        </row>
        <row r="190">
          <cell r="B190" t="str">
            <v>QAQC</v>
          </cell>
          <cell r="D190">
            <v>0.02</v>
          </cell>
          <cell r="G190">
            <v>12543</v>
          </cell>
        </row>
        <row r="191">
          <cell r="B191" t="str">
            <v>Sprs</v>
          </cell>
          <cell r="D191">
            <v>0.02</v>
          </cell>
          <cell r="G191">
            <v>12543</v>
          </cell>
        </row>
        <row r="192">
          <cell r="D192">
            <v>0</v>
          </cell>
          <cell r="G192">
            <v>0</v>
          </cell>
        </row>
        <row r="194">
          <cell r="H194">
            <v>104000</v>
          </cell>
        </row>
        <row r="195">
          <cell r="B195" t="str">
            <v>ZZZ-4460</v>
          </cell>
          <cell r="D195">
            <v>1</v>
          </cell>
          <cell r="G195">
            <v>100000</v>
          </cell>
        </row>
        <row r="196">
          <cell r="B196" t="str">
            <v>MAK-4461</v>
          </cell>
        </row>
        <row r="197">
          <cell r="B197" t="str">
            <v>MAK-4462</v>
          </cell>
        </row>
        <row r="198">
          <cell r="B198" t="str">
            <v>QAQC</v>
          </cell>
          <cell r="D198">
            <v>0.02</v>
          </cell>
          <cell r="G198">
            <v>2000</v>
          </cell>
        </row>
        <row r="199">
          <cell r="B199" t="str">
            <v>Sprs</v>
          </cell>
          <cell r="D199">
            <v>0.02</v>
          </cell>
          <cell r="G199">
            <v>2000</v>
          </cell>
        </row>
        <row r="200">
          <cell r="D200">
            <v>0</v>
          </cell>
          <cell r="G200">
            <v>0</v>
          </cell>
        </row>
        <row r="202">
          <cell r="H202">
            <v>561600</v>
          </cell>
        </row>
        <row r="203">
          <cell r="B203" t="str">
            <v>ZZZ-4470</v>
          </cell>
          <cell r="D203">
            <v>1</v>
          </cell>
          <cell r="G203">
            <v>540000</v>
          </cell>
        </row>
        <row r="204">
          <cell r="B204" t="str">
            <v>EBN-4470</v>
          </cell>
        </row>
        <row r="205">
          <cell r="B205" t="str">
            <v>EBN-4471</v>
          </cell>
        </row>
        <row r="206">
          <cell r="B206" t="str">
            <v>EBN-4472</v>
          </cell>
        </row>
        <row r="207">
          <cell r="B207" t="str">
            <v>EZZ-4473</v>
          </cell>
        </row>
        <row r="208">
          <cell r="B208" t="str">
            <v>QAQC</v>
          </cell>
          <cell r="D208">
            <v>0.02</v>
          </cell>
          <cell r="G208">
            <v>10800</v>
          </cell>
        </row>
        <row r="209">
          <cell r="B209" t="str">
            <v>Sprs</v>
          </cell>
          <cell r="D209">
            <v>0.02</v>
          </cell>
          <cell r="G209">
            <v>10800</v>
          </cell>
        </row>
        <row r="210">
          <cell r="D210">
            <v>0</v>
          </cell>
          <cell r="G210">
            <v>0</v>
          </cell>
        </row>
        <row r="212">
          <cell r="H212">
            <v>156000</v>
          </cell>
        </row>
        <row r="213">
          <cell r="B213" t="str">
            <v>DBE-4625</v>
          </cell>
          <cell r="D213">
            <v>1</v>
          </cell>
          <cell r="G213">
            <v>150000</v>
          </cell>
        </row>
        <row r="214">
          <cell r="B214" t="str">
            <v>QAQC</v>
          </cell>
          <cell r="D214">
            <v>0.02</v>
          </cell>
          <cell r="G214">
            <v>3000</v>
          </cell>
        </row>
        <row r="215">
          <cell r="B215" t="str">
            <v>Sprs</v>
          </cell>
          <cell r="D215">
            <v>0.02</v>
          </cell>
          <cell r="G215">
            <v>3000</v>
          </cell>
        </row>
        <row r="216">
          <cell r="D216">
            <v>0</v>
          </cell>
          <cell r="G216">
            <v>0</v>
          </cell>
        </row>
        <row r="218">
          <cell r="H218">
            <v>3120000</v>
          </cell>
        </row>
        <row r="219">
          <cell r="B219" t="str">
            <v>DBE-4600</v>
          </cell>
          <cell r="D219">
            <v>1</v>
          </cell>
          <cell r="G219">
            <v>3000000</v>
          </cell>
        </row>
        <row r="220">
          <cell r="B220" t="str">
            <v>QAQC</v>
          </cell>
          <cell r="D220">
            <v>0.02</v>
          </cell>
          <cell r="G220">
            <v>60000</v>
          </cell>
        </row>
        <row r="221">
          <cell r="D221">
            <v>0.02</v>
          </cell>
          <cell r="G221">
            <v>60000</v>
          </cell>
        </row>
        <row r="222">
          <cell r="D222">
            <v>0</v>
          </cell>
          <cell r="G222">
            <v>0</v>
          </cell>
        </row>
        <row r="224">
          <cell r="H224">
            <v>186407.52000000002</v>
          </cell>
        </row>
        <row r="225">
          <cell r="B225" t="str">
            <v>ZZZ-4610</v>
          </cell>
          <cell r="D225">
            <v>2</v>
          </cell>
          <cell r="G225">
            <v>179238</v>
          </cell>
        </row>
        <row r="226">
          <cell r="B226" t="str">
            <v>ZZZ-4610</v>
          </cell>
        </row>
        <row r="227">
          <cell r="B227" t="str">
            <v>ZZZ-4611</v>
          </cell>
        </row>
        <row r="228">
          <cell r="B228" t="str">
            <v>MAJ-4612</v>
          </cell>
        </row>
        <row r="229">
          <cell r="B229" t="str">
            <v>PBE-4613</v>
          </cell>
        </row>
        <row r="230">
          <cell r="B230" t="str">
            <v>PBE-4614</v>
          </cell>
        </row>
        <row r="231">
          <cell r="B231" t="str">
            <v>QAQC</v>
          </cell>
          <cell r="D231">
            <v>0.02</v>
          </cell>
          <cell r="G231">
            <v>3584.76</v>
          </cell>
        </row>
        <row r="232">
          <cell r="D232">
            <v>0.02</v>
          </cell>
          <cell r="G232">
            <v>3584.76</v>
          </cell>
        </row>
        <row r="233">
          <cell r="D233">
            <v>0</v>
          </cell>
          <cell r="G233">
            <v>0</v>
          </cell>
        </row>
        <row r="235">
          <cell r="H235">
            <v>130000</v>
          </cell>
        </row>
        <row r="236">
          <cell r="B236" t="str">
            <v>ABJ-4615</v>
          </cell>
          <cell r="D236">
            <v>1</v>
          </cell>
          <cell r="G236">
            <v>125000</v>
          </cell>
        </row>
        <row r="237">
          <cell r="B237" t="str">
            <v>QAQC</v>
          </cell>
          <cell r="D237">
            <v>0.02</v>
          </cell>
          <cell r="G237">
            <v>2500</v>
          </cell>
        </row>
        <row r="238">
          <cell r="B238" t="str">
            <v>Sprs</v>
          </cell>
          <cell r="D238">
            <v>0.02</v>
          </cell>
          <cell r="G238">
            <v>2500</v>
          </cell>
        </row>
        <row r="239">
          <cell r="D239">
            <v>0</v>
          </cell>
          <cell r="G239">
            <v>0</v>
          </cell>
        </row>
        <row r="241">
          <cell r="H241">
            <v>46800</v>
          </cell>
        </row>
        <row r="242">
          <cell r="B242" t="str">
            <v>ABJ-4616</v>
          </cell>
          <cell r="D242">
            <v>1</v>
          </cell>
          <cell r="G242">
            <v>45000</v>
          </cell>
        </row>
        <row r="243">
          <cell r="B243" t="str">
            <v>QAQC</v>
          </cell>
          <cell r="D243">
            <v>0.02</v>
          </cell>
          <cell r="G243">
            <v>900</v>
          </cell>
        </row>
        <row r="244">
          <cell r="B244" t="str">
            <v>Sprs</v>
          </cell>
          <cell r="D244">
            <v>0.02</v>
          </cell>
          <cell r="G244">
            <v>900</v>
          </cell>
        </row>
        <row r="245">
          <cell r="D245">
            <v>0</v>
          </cell>
          <cell r="G245">
            <v>0</v>
          </cell>
        </row>
        <row r="247">
          <cell r="H247">
            <v>0</v>
          </cell>
        </row>
        <row r="248">
          <cell r="B248" t="str">
            <v>PBE-4617</v>
          </cell>
          <cell r="D248">
            <v>0</v>
          </cell>
          <cell r="G248">
            <v>0</v>
          </cell>
        </row>
        <row r="249">
          <cell r="B249" t="str">
            <v>QAQC</v>
          </cell>
          <cell r="D249">
            <v>0.02</v>
          </cell>
          <cell r="G249">
            <v>0</v>
          </cell>
        </row>
        <row r="250">
          <cell r="B250" t="str">
            <v>Sprs</v>
          </cell>
          <cell r="D250">
            <v>0.02</v>
          </cell>
          <cell r="G250">
            <v>0</v>
          </cell>
        </row>
        <row r="251">
          <cell r="D251">
            <v>0</v>
          </cell>
          <cell r="G251">
            <v>0</v>
          </cell>
        </row>
        <row r="253">
          <cell r="H253">
            <v>37573.119999999995</v>
          </cell>
        </row>
        <row r="254">
          <cell r="B254" t="str">
            <v>ZZZ-4630</v>
          </cell>
          <cell r="D254">
            <v>1</v>
          </cell>
          <cell r="G254">
            <v>36128</v>
          </cell>
        </row>
        <row r="255">
          <cell r="B255" t="str">
            <v>ZZZ-4630</v>
          </cell>
        </row>
        <row r="256">
          <cell r="B256" t="str">
            <v>ZZZ-4631</v>
          </cell>
        </row>
        <row r="257">
          <cell r="B257" t="str">
            <v>QAQC</v>
          </cell>
          <cell r="D257">
            <v>0.02</v>
          </cell>
          <cell r="G257">
            <v>722.56000000000006</v>
          </cell>
        </row>
        <row r="258">
          <cell r="B258" t="str">
            <v>Sprs</v>
          </cell>
          <cell r="D258">
            <v>0.02</v>
          </cell>
          <cell r="G258">
            <v>722.56000000000006</v>
          </cell>
        </row>
        <row r="259">
          <cell r="D259">
            <v>0</v>
          </cell>
          <cell r="G259">
            <v>0</v>
          </cell>
        </row>
        <row r="261">
          <cell r="H261">
            <v>141248.64000000001</v>
          </cell>
        </row>
        <row r="262">
          <cell r="B262" t="str">
            <v>ZZZ-4640</v>
          </cell>
          <cell r="D262">
            <v>1</v>
          </cell>
          <cell r="G262">
            <v>135816</v>
          </cell>
        </row>
        <row r="263">
          <cell r="B263" t="str">
            <v>QAQC</v>
          </cell>
          <cell r="D263">
            <v>0.02</v>
          </cell>
          <cell r="G263">
            <v>2716.32</v>
          </cell>
        </row>
        <row r="264">
          <cell r="B264" t="str">
            <v>Sprs</v>
          </cell>
          <cell r="D264">
            <v>0.02</v>
          </cell>
          <cell r="G264">
            <v>2716.32</v>
          </cell>
        </row>
        <row r="265">
          <cell r="D265">
            <v>0</v>
          </cell>
          <cell r="G265">
            <v>0</v>
          </cell>
        </row>
        <row r="267">
          <cell r="H267">
            <v>110708</v>
          </cell>
        </row>
        <row r="268">
          <cell r="B268" t="str">
            <v>ZZZ-4641</v>
          </cell>
          <cell r="D268">
            <v>1</v>
          </cell>
          <cell r="G268">
            <v>106450</v>
          </cell>
        </row>
        <row r="269">
          <cell r="B269" t="str">
            <v>QAQC</v>
          </cell>
          <cell r="D269">
            <v>0.02</v>
          </cell>
          <cell r="G269">
            <v>2129</v>
          </cell>
        </row>
        <row r="270">
          <cell r="B270" t="str">
            <v>Sprs</v>
          </cell>
          <cell r="D270">
            <v>0.02</v>
          </cell>
          <cell r="G270">
            <v>2129</v>
          </cell>
        </row>
        <row r="271">
          <cell r="D271">
            <v>0</v>
          </cell>
          <cell r="G271">
            <v>0</v>
          </cell>
        </row>
        <row r="273">
          <cell r="H273">
            <v>520000</v>
          </cell>
        </row>
        <row r="274">
          <cell r="B274" t="str">
            <v>ZZZ-4645</v>
          </cell>
          <cell r="D274">
            <v>1</v>
          </cell>
          <cell r="G274">
            <v>500000</v>
          </cell>
        </row>
        <row r="275">
          <cell r="B275" t="str">
            <v>QAQC</v>
          </cell>
          <cell r="D275">
            <v>0.02</v>
          </cell>
          <cell r="G275">
            <v>10000</v>
          </cell>
        </row>
        <row r="276">
          <cell r="B276" t="str">
            <v>Sprs</v>
          </cell>
          <cell r="D276">
            <v>0.02</v>
          </cell>
          <cell r="G276">
            <v>10000</v>
          </cell>
        </row>
        <row r="277">
          <cell r="D277">
            <v>0</v>
          </cell>
          <cell r="G277">
            <v>0</v>
          </cell>
        </row>
        <row r="279">
          <cell r="H279">
            <v>0</v>
          </cell>
        </row>
        <row r="280">
          <cell r="B280" t="str">
            <v>ABJ-4646</v>
          </cell>
          <cell r="D280">
            <v>0</v>
          </cell>
          <cell r="G280">
            <v>0</v>
          </cell>
        </row>
        <row r="281">
          <cell r="B281" t="str">
            <v>QAQC</v>
          </cell>
          <cell r="D281">
            <v>0.02</v>
          </cell>
          <cell r="G281">
            <v>0</v>
          </cell>
        </row>
        <row r="282">
          <cell r="B282" t="str">
            <v>Sprs</v>
          </cell>
          <cell r="D282">
            <v>0.02</v>
          </cell>
          <cell r="G282">
            <v>0</v>
          </cell>
        </row>
        <row r="283">
          <cell r="D283">
            <v>0</v>
          </cell>
          <cell r="G283">
            <v>0</v>
          </cell>
        </row>
        <row r="285">
          <cell r="H285">
            <v>0</v>
          </cell>
        </row>
        <row r="286">
          <cell r="B286" t="str">
            <v>PBE-4647</v>
          </cell>
          <cell r="D286">
            <v>0</v>
          </cell>
          <cell r="G286">
            <v>0</v>
          </cell>
        </row>
        <row r="287">
          <cell r="B287" t="str">
            <v>QAQC</v>
          </cell>
          <cell r="D287">
            <v>0.02</v>
          </cell>
          <cell r="G287">
            <v>0</v>
          </cell>
        </row>
        <row r="288">
          <cell r="B288" t="str">
            <v>Sprs</v>
          </cell>
          <cell r="D288">
            <v>0.02</v>
          </cell>
          <cell r="G288">
            <v>0</v>
          </cell>
        </row>
        <row r="289">
          <cell r="D289">
            <v>0</v>
          </cell>
          <cell r="G289">
            <v>0</v>
          </cell>
        </row>
        <row r="291">
          <cell r="H291">
            <v>0</v>
          </cell>
        </row>
        <row r="292">
          <cell r="B292" t="str">
            <v>ABJ-4650</v>
          </cell>
          <cell r="D292">
            <v>0</v>
          </cell>
          <cell r="G292">
            <v>0</v>
          </cell>
        </row>
        <row r="293">
          <cell r="B293" t="str">
            <v>QAQC</v>
          </cell>
          <cell r="D293">
            <v>0.02</v>
          </cell>
          <cell r="G293">
            <v>0</v>
          </cell>
        </row>
        <row r="294">
          <cell r="B294" t="str">
            <v>Sprs</v>
          </cell>
          <cell r="D294">
            <v>0.02</v>
          </cell>
          <cell r="G294">
            <v>0</v>
          </cell>
        </row>
        <row r="295">
          <cell r="D295">
            <v>0</v>
          </cell>
          <cell r="G295">
            <v>0</v>
          </cell>
        </row>
        <row r="297">
          <cell r="H297">
            <v>72800</v>
          </cell>
        </row>
        <row r="298">
          <cell r="B298" t="str">
            <v>ZZZ-4655</v>
          </cell>
          <cell r="D298">
            <v>1</v>
          </cell>
          <cell r="G298">
            <v>70000</v>
          </cell>
        </row>
        <row r="299">
          <cell r="B299" t="str">
            <v>PBE-4655</v>
          </cell>
        </row>
        <row r="300">
          <cell r="B300" t="str">
            <v>PBE-4656</v>
          </cell>
        </row>
        <row r="301">
          <cell r="B301" t="str">
            <v>MAK-4657</v>
          </cell>
        </row>
        <row r="302">
          <cell r="B302" t="str">
            <v>MAK-4658</v>
          </cell>
        </row>
        <row r="303">
          <cell r="B303" t="str">
            <v>MAK-4659</v>
          </cell>
        </row>
        <row r="304">
          <cell r="B304" t="str">
            <v>QAQC</v>
          </cell>
          <cell r="D304">
            <v>0.02</v>
          </cell>
          <cell r="G304">
            <v>1400</v>
          </cell>
        </row>
        <row r="305">
          <cell r="B305" t="str">
            <v>Sprs</v>
          </cell>
          <cell r="D305">
            <v>0.02</v>
          </cell>
          <cell r="G305">
            <v>1400</v>
          </cell>
        </row>
        <row r="306">
          <cell r="D306">
            <v>0</v>
          </cell>
          <cell r="G306">
            <v>0</v>
          </cell>
        </row>
        <row r="308">
          <cell r="H308">
            <v>312000</v>
          </cell>
        </row>
        <row r="309">
          <cell r="B309" t="str">
            <v>ZZZ-4670</v>
          </cell>
          <cell r="D309">
            <v>1</v>
          </cell>
          <cell r="G309">
            <v>300000</v>
          </cell>
        </row>
        <row r="310">
          <cell r="B310" t="str">
            <v>ABJ-4670</v>
          </cell>
        </row>
        <row r="311">
          <cell r="B311" t="str">
            <v>ZZZ-4675</v>
          </cell>
        </row>
        <row r="312">
          <cell r="B312" t="str">
            <v>ZZZ-4676</v>
          </cell>
        </row>
        <row r="313">
          <cell r="B313" t="str">
            <v>ABJ-4680</v>
          </cell>
        </row>
        <row r="314">
          <cell r="B314" t="str">
            <v>ZZZ-4685</v>
          </cell>
        </row>
        <row r="315">
          <cell r="B315" t="str">
            <v>ZZZ-4686</v>
          </cell>
        </row>
        <row r="316">
          <cell r="B316" t="str">
            <v>ABJ-4690</v>
          </cell>
        </row>
        <row r="317">
          <cell r="B317" t="str">
            <v>ZZZ-4695</v>
          </cell>
        </row>
        <row r="318">
          <cell r="B318" t="str">
            <v>ZZZ-4696</v>
          </cell>
        </row>
        <row r="319">
          <cell r="B319" t="str">
            <v>ABJ-4700</v>
          </cell>
        </row>
        <row r="320">
          <cell r="B320" t="str">
            <v>ZZZ-4705</v>
          </cell>
        </row>
        <row r="321">
          <cell r="B321" t="str">
            <v>ZZZ-4706</v>
          </cell>
        </row>
        <row r="322">
          <cell r="B322" t="str">
            <v>ABJ-4710</v>
          </cell>
        </row>
        <row r="323">
          <cell r="B323" t="str">
            <v>ZZZ-4715</v>
          </cell>
        </row>
        <row r="324">
          <cell r="B324" t="str">
            <v>ZZZ-4716</v>
          </cell>
        </row>
        <row r="325">
          <cell r="B325" t="str">
            <v>ABJ-4720</v>
          </cell>
        </row>
        <row r="326">
          <cell r="B326" t="str">
            <v>ZZZ-4725</v>
          </cell>
        </row>
        <row r="327">
          <cell r="B327" t="str">
            <v>ZZZ-4726</v>
          </cell>
        </row>
        <row r="328">
          <cell r="B328" t="str">
            <v>ABJ-4730</v>
          </cell>
        </row>
        <row r="329">
          <cell r="B329" t="str">
            <v>ZZZ-4735</v>
          </cell>
        </row>
        <row r="330">
          <cell r="B330" t="str">
            <v>QAQC</v>
          </cell>
          <cell r="D330">
            <v>0.02</v>
          </cell>
          <cell r="G330">
            <v>6000</v>
          </cell>
        </row>
        <row r="331">
          <cell r="B331" t="str">
            <v>Sprs</v>
          </cell>
          <cell r="D331">
            <v>0.02</v>
          </cell>
          <cell r="G331">
            <v>6000</v>
          </cell>
        </row>
        <row r="332">
          <cell r="D332">
            <v>0</v>
          </cell>
          <cell r="G332">
            <v>0</v>
          </cell>
        </row>
        <row r="334">
          <cell r="H334">
            <v>310544</v>
          </cell>
        </row>
        <row r="335">
          <cell r="B335" t="str">
            <v>ZZZ-4760</v>
          </cell>
          <cell r="D335">
            <v>1</v>
          </cell>
          <cell r="G335">
            <v>298600</v>
          </cell>
        </row>
        <row r="336">
          <cell r="B336" t="str">
            <v>ZZZ-4760</v>
          </cell>
        </row>
        <row r="337">
          <cell r="B337" t="str">
            <v>ZZZ-4761</v>
          </cell>
        </row>
        <row r="338">
          <cell r="B338" t="str">
            <v>MBL-4765</v>
          </cell>
        </row>
        <row r="339">
          <cell r="B339" t="str">
            <v>MBL-4770</v>
          </cell>
        </row>
        <row r="340">
          <cell r="B340" t="str">
            <v>MBE-4775</v>
          </cell>
        </row>
        <row r="341">
          <cell r="B341" t="str">
            <v>QAQC</v>
          </cell>
          <cell r="D341">
            <v>0.02</v>
          </cell>
          <cell r="G341">
            <v>5972</v>
          </cell>
        </row>
        <row r="342">
          <cell r="B342" t="str">
            <v>Sprs</v>
          </cell>
          <cell r="D342">
            <v>0.02</v>
          </cell>
          <cell r="G342">
            <v>5972</v>
          </cell>
        </row>
        <row r="343">
          <cell r="D343">
            <v>0</v>
          </cell>
          <cell r="G343">
            <v>0</v>
          </cell>
        </row>
        <row r="345">
          <cell r="H345">
            <v>82516.72</v>
          </cell>
        </row>
        <row r="346">
          <cell r="B346" t="str">
            <v>PBE-4780</v>
          </cell>
          <cell r="D346">
            <v>1</v>
          </cell>
          <cell r="G346">
            <v>79343</v>
          </cell>
        </row>
        <row r="347">
          <cell r="B347" t="str">
            <v>QAQC</v>
          </cell>
          <cell r="D347">
            <v>0.02</v>
          </cell>
          <cell r="G347">
            <v>1586.8600000000001</v>
          </cell>
        </row>
        <row r="348">
          <cell r="B348" t="str">
            <v>Sprs</v>
          </cell>
          <cell r="D348">
            <v>0.02</v>
          </cell>
          <cell r="G348">
            <v>1586.8600000000001</v>
          </cell>
        </row>
        <row r="349">
          <cell r="D349">
            <v>0</v>
          </cell>
          <cell r="G349">
            <v>0</v>
          </cell>
        </row>
        <row r="351">
          <cell r="H351">
            <v>102440</v>
          </cell>
        </row>
        <row r="352">
          <cell r="B352" t="str">
            <v>ZZZ-4790</v>
          </cell>
          <cell r="D352">
            <v>1</v>
          </cell>
          <cell r="G352">
            <v>98500</v>
          </cell>
        </row>
        <row r="353">
          <cell r="B353" t="str">
            <v>PBE-4790</v>
          </cell>
        </row>
        <row r="354">
          <cell r="B354" t="str">
            <v>ZZZ-4791</v>
          </cell>
        </row>
        <row r="355">
          <cell r="B355" t="str">
            <v>ABJ-4792</v>
          </cell>
        </row>
        <row r="356">
          <cell r="B356" t="str">
            <v>QAQC</v>
          </cell>
          <cell r="D356">
            <v>0.02</v>
          </cell>
          <cell r="G356">
            <v>1970</v>
          </cell>
        </row>
        <row r="357">
          <cell r="B357" t="str">
            <v>Sprs</v>
          </cell>
          <cell r="D357">
            <v>0.02</v>
          </cell>
          <cell r="G357">
            <v>1970</v>
          </cell>
        </row>
        <row r="358">
          <cell r="D358">
            <v>0</v>
          </cell>
          <cell r="G358">
            <v>0</v>
          </cell>
        </row>
        <row r="360">
          <cell r="H360">
            <v>102440</v>
          </cell>
        </row>
        <row r="361">
          <cell r="B361" t="str">
            <v>ZZZ-4800</v>
          </cell>
          <cell r="D361">
            <v>1</v>
          </cell>
          <cell r="G361">
            <v>98500</v>
          </cell>
        </row>
        <row r="362">
          <cell r="B362" t="str">
            <v>PBE-4800</v>
          </cell>
        </row>
        <row r="363">
          <cell r="B363" t="str">
            <v>ZZZ-48001</v>
          </cell>
        </row>
        <row r="364">
          <cell r="B364" t="str">
            <v>ABJ-4802</v>
          </cell>
        </row>
        <row r="365">
          <cell r="B365" t="str">
            <v>QAQC</v>
          </cell>
          <cell r="D365">
            <v>0.02</v>
          </cell>
          <cell r="G365">
            <v>1970</v>
          </cell>
        </row>
        <row r="366">
          <cell r="B366" t="str">
            <v>Sprs</v>
          </cell>
          <cell r="D366">
            <v>0.02</v>
          </cell>
          <cell r="G366">
            <v>1970</v>
          </cell>
        </row>
        <row r="367">
          <cell r="D367">
            <v>0</v>
          </cell>
          <cell r="G367">
            <v>0</v>
          </cell>
        </row>
        <row r="369">
          <cell r="H369">
            <v>0</v>
          </cell>
        </row>
        <row r="370">
          <cell r="B370" t="str">
            <v>DBE-4835</v>
          </cell>
          <cell r="D370">
            <v>0</v>
          </cell>
          <cell r="G370">
            <v>0</v>
          </cell>
        </row>
        <row r="371">
          <cell r="B371" t="str">
            <v>QAQC</v>
          </cell>
          <cell r="D371">
            <v>0.02</v>
          </cell>
          <cell r="G371">
            <v>0</v>
          </cell>
        </row>
        <row r="372">
          <cell r="B372" t="str">
            <v>Sprs</v>
          </cell>
          <cell r="D372">
            <v>0.02</v>
          </cell>
          <cell r="G372">
            <v>0</v>
          </cell>
        </row>
        <row r="373">
          <cell r="D373">
            <v>0</v>
          </cell>
          <cell r="G373">
            <v>0</v>
          </cell>
        </row>
        <row r="375">
          <cell r="H375">
            <v>0</v>
          </cell>
        </row>
        <row r="376">
          <cell r="B376" t="str">
            <v>ZZZ-4851</v>
          </cell>
          <cell r="D376">
            <v>0</v>
          </cell>
          <cell r="G376">
            <v>0</v>
          </cell>
        </row>
        <row r="377">
          <cell r="B377" t="str">
            <v>QAQC</v>
          </cell>
          <cell r="D377">
            <v>0.02</v>
          </cell>
          <cell r="G377">
            <v>0</v>
          </cell>
        </row>
        <row r="378">
          <cell r="B378" t="str">
            <v>Sprs</v>
          </cell>
          <cell r="D378">
            <v>0.02</v>
          </cell>
          <cell r="G378">
            <v>0</v>
          </cell>
        </row>
        <row r="379">
          <cell r="D379">
            <v>0</v>
          </cell>
          <cell r="G379">
            <v>0</v>
          </cell>
        </row>
        <row r="381">
          <cell r="H381">
            <v>0</v>
          </cell>
        </row>
        <row r="382">
          <cell r="B382" t="str">
            <v>ZZZ-4852</v>
          </cell>
          <cell r="D382">
            <v>0</v>
          </cell>
          <cell r="G382">
            <v>0</v>
          </cell>
        </row>
        <row r="383">
          <cell r="B383" t="str">
            <v>QAQC</v>
          </cell>
          <cell r="D383">
            <v>0.02</v>
          </cell>
          <cell r="G383">
            <v>0</v>
          </cell>
        </row>
        <row r="384">
          <cell r="B384" t="str">
            <v>Sprs</v>
          </cell>
          <cell r="D384">
            <v>0.02</v>
          </cell>
          <cell r="G384">
            <v>0</v>
          </cell>
        </row>
        <row r="385">
          <cell r="D385">
            <v>0</v>
          </cell>
          <cell r="G385">
            <v>0</v>
          </cell>
        </row>
        <row r="387">
          <cell r="H387">
            <v>0</v>
          </cell>
        </row>
        <row r="388">
          <cell r="B388" t="str">
            <v>ZZZ-4835</v>
          </cell>
          <cell r="D388">
            <v>0</v>
          </cell>
          <cell r="G388">
            <v>0</v>
          </cell>
        </row>
        <row r="389">
          <cell r="B389" t="str">
            <v>QAQC</v>
          </cell>
          <cell r="D389">
            <v>0.02</v>
          </cell>
          <cell r="G389">
            <v>0</v>
          </cell>
        </row>
        <row r="390">
          <cell r="B390" t="str">
            <v>Sprs</v>
          </cell>
          <cell r="D390">
            <v>0.02</v>
          </cell>
          <cell r="G390">
            <v>0</v>
          </cell>
        </row>
        <row r="391">
          <cell r="D391">
            <v>0</v>
          </cell>
          <cell r="G391">
            <v>0</v>
          </cell>
        </row>
        <row r="393">
          <cell r="H393">
            <v>0</v>
          </cell>
        </row>
        <row r="394">
          <cell r="B394" t="str">
            <v>ZZZ-4854</v>
          </cell>
          <cell r="D394">
            <v>0</v>
          </cell>
          <cell r="G394">
            <v>0</v>
          </cell>
        </row>
        <row r="395">
          <cell r="B395" t="str">
            <v>QAQC</v>
          </cell>
          <cell r="D395">
            <v>0.02</v>
          </cell>
          <cell r="G395">
            <v>0</v>
          </cell>
        </row>
        <row r="396">
          <cell r="B396" t="str">
            <v>Sprs</v>
          </cell>
          <cell r="D396">
            <v>0.02</v>
          </cell>
          <cell r="G396">
            <v>0</v>
          </cell>
        </row>
        <row r="397">
          <cell r="D397">
            <v>0</v>
          </cell>
          <cell r="G397">
            <v>0</v>
          </cell>
        </row>
        <row r="399">
          <cell r="H399">
            <v>0</v>
          </cell>
        </row>
        <row r="400">
          <cell r="B400" t="str">
            <v>ZZZ-4855</v>
          </cell>
          <cell r="D400">
            <v>0</v>
          </cell>
          <cell r="G400">
            <v>0</v>
          </cell>
        </row>
        <row r="401">
          <cell r="B401" t="str">
            <v>QAQC</v>
          </cell>
          <cell r="D401">
            <v>0.02</v>
          </cell>
          <cell r="G401">
            <v>0</v>
          </cell>
        </row>
        <row r="402">
          <cell r="B402" t="str">
            <v>Sprs</v>
          </cell>
          <cell r="D402">
            <v>0.02</v>
          </cell>
          <cell r="G402">
            <v>0</v>
          </cell>
        </row>
        <row r="403">
          <cell r="D403">
            <v>0</v>
          </cell>
          <cell r="G403">
            <v>0</v>
          </cell>
        </row>
        <row r="405">
          <cell r="G405" t="str">
            <v xml:space="preserve"> </v>
          </cell>
          <cell r="H405" t="str">
            <v xml:space="preserve"> </v>
          </cell>
        </row>
        <row r="407">
          <cell r="H407">
            <v>0</v>
          </cell>
        </row>
        <row r="408">
          <cell r="B408" t="str">
            <v>FAB</v>
          </cell>
          <cell r="D408">
            <v>0</v>
          </cell>
          <cell r="G408">
            <v>0</v>
          </cell>
        </row>
        <row r="410">
          <cell r="B410" t="str">
            <v>EG-1001</v>
          </cell>
          <cell r="H410">
            <v>0</v>
          </cell>
        </row>
        <row r="411">
          <cell r="B411" t="str">
            <v>BE</v>
          </cell>
          <cell r="D411">
            <v>0</v>
          </cell>
          <cell r="G411">
            <v>0</v>
          </cell>
        </row>
        <row r="412">
          <cell r="B412" t="str">
            <v>QAQC</v>
          </cell>
          <cell r="D412">
            <v>0.02</v>
          </cell>
          <cell r="G412">
            <v>0</v>
          </cell>
        </row>
        <row r="413">
          <cell r="B413" t="str">
            <v>Sprs</v>
          </cell>
          <cell r="D413">
            <v>0.02</v>
          </cell>
          <cell r="G413">
            <v>0</v>
          </cell>
        </row>
        <row r="415">
          <cell r="B415" t="str">
            <v>BLDG-1001</v>
          </cell>
          <cell r="H415">
            <v>936000</v>
          </cell>
        </row>
        <row r="416">
          <cell r="B416" t="str">
            <v>BE</v>
          </cell>
          <cell r="D416">
            <v>1</v>
          </cell>
          <cell r="G416">
            <v>900000</v>
          </cell>
        </row>
        <row r="417">
          <cell r="B417" t="str">
            <v>QAQC</v>
          </cell>
          <cell r="D417">
            <v>0.02</v>
          </cell>
          <cell r="G417">
            <v>18000</v>
          </cell>
        </row>
        <row r="418">
          <cell r="B418" t="str">
            <v>Sprs</v>
          </cell>
          <cell r="D418">
            <v>0.02</v>
          </cell>
          <cell r="G418">
            <v>18000</v>
          </cell>
        </row>
        <row r="420">
          <cell r="B420" t="str">
            <v>BLDG-1002</v>
          </cell>
          <cell r="H420">
            <v>0</v>
          </cell>
        </row>
        <row r="421">
          <cell r="B421" t="str">
            <v>BE</v>
          </cell>
          <cell r="D421">
            <v>0</v>
          </cell>
          <cell r="G421">
            <v>0</v>
          </cell>
        </row>
        <row r="422">
          <cell r="B422" t="str">
            <v>QAQC</v>
          </cell>
          <cell r="D422">
            <v>0.02</v>
          </cell>
          <cell r="G422">
            <v>0</v>
          </cell>
        </row>
        <row r="423">
          <cell r="B423" t="str">
            <v>Sprs</v>
          </cell>
          <cell r="D423">
            <v>0.02</v>
          </cell>
          <cell r="G423">
            <v>0</v>
          </cell>
        </row>
        <row r="425">
          <cell r="B425" t="str">
            <v>SWGR-1001</v>
          </cell>
          <cell r="H425">
            <v>390000</v>
          </cell>
        </row>
        <row r="426">
          <cell r="B426" t="str">
            <v>BE</v>
          </cell>
          <cell r="D426">
            <v>1</v>
          </cell>
          <cell r="G426">
            <v>375000</v>
          </cell>
        </row>
        <row r="427">
          <cell r="B427" t="str">
            <v>QAQC</v>
          </cell>
          <cell r="D427">
            <v>0.02</v>
          </cell>
          <cell r="G427">
            <v>7500</v>
          </cell>
        </row>
        <row r="428">
          <cell r="B428" t="str">
            <v>Sprs</v>
          </cell>
          <cell r="D428">
            <v>0.02</v>
          </cell>
          <cell r="G428">
            <v>7500</v>
          </cell>
        </row>
        <row r="430">
          <cell r="B430" t="str">
            <v>SWGR-1002</v>
          </cell>
          <cell r="H430">
            <v>0</v>
          </cell>
        </row>
        <row r="431">
          <cell r="B431" t="str">
            <v>BE</v>
          </cell>
          <cell r="D431">
            <v>0</v>
          </cell>
          <cell r="G431">
            <v>0</v>
          </cell>
        </row>
        <row r="432">
          <cell r="B432" t="str">
            <v>QAQC</v>
          </cell>
          <cell r="D432">
            <v>0.02</v>
          </cell>
          <cell r="G432">
            <v>0</v>
          </cell>
        </row>
        <row r="433">
          <cell r="B433" t="str">
            <v>Sprs</v>
          </cell>
          <cell r="D433">
            <v>0.02</v>
          </cell>
          <cell r="G433">
            <v>0</v>
          </cell>
        </row>
        <row r="435">
          <cell r="B435" t="str">
            <v>XFMR-1001</v>
          </cell>
          <cell r="H435">
            <v>62400</v>
          </cell>
        </row>
        <row r="436">
          <cell r="B436" t="str">
            <v>BE</v>
          </cell>
          <cell r="D436">
            <v>1</v>
          </cell>
          <cell r="G436">
            <v>60000</v>
          </cell>
        </row>
        <row r="437">
          <cell r="B437" t="str">
            <v>QAQC</v>
          </cell>
          <cell r="D437">
            <v>0.02</v>
          </cell>
          <cell r="G437">
            <v>1200</v>
          </cell>
        </row>
        <row r="438">
          <cell r="B438" t="str">
            <v>Sprs</v>
          </cell>
          <cell r="D438">
            <v>0.02</v>
          </cell>
          <cell r="G438">
            <v>1200</v>
          </cell>
        </row>
        <row r="440">
          <cell r="B440" t="str">
            <v>XFMR-1002</v>
          </cell>
          <cell r="H440">
            <v>62400</v>
          </cell>
        </row>
        <row r="441">
          <cell r="B441" t="str">
            <v>BE</v>
          </cell>
          <cell r="D441">
            <v>1</v>
          </cell>
          <cell r="G441">
            <v>60000</v>
          </cell>
        </row>
        <row r="442">
          <cell r="B442" t="str">
            <v>QAQC</v>
          </cell>
          <cell r="D442">
            <v>0.02</v>
          </cell>
          <cell r="G442">
            <v>1200</v>
          </cell>
        </row>
        <row r="443">
          <cell r="B443" t="str">
            <v>Sprs</v>
          </cell>
          <cell r="D443">
            <v>0.02</v>
          </cell>
          <cell r="G443">
            <v>1200</v>
          </cell>
        </row>
        <row r="445">
          <cell r="B445" t="str">
            <v>XFMR-1003</v>
          </cell>
          <cell r="H445">
            <v>62400</v>
          </cell>
        </row>
        <row r="446">
          <cell r="B446" t="str">
            <v>BE</v>
          </cell>
          <cell r="D446">
            <v>1</v>
          </cell>
          <cell r="G446">
            <v>60000</v>
          </cell>
        </row>
        <row r="447">
          <cell r="B447" t="str">
            <v>QAQC</v>
          </cell>
          <cell r="D447">
            <v>0.02</v>
          </cell>
          <cell r="G447">
            <v>1200</v>
          </cell>
        </row>
        <row r="448">
          <cell r="B448" t="str">
            <v>Sprs</v>
          </cell>
          <cell r="D448">
            <v>0.02</v>
          </cell>
          <cell r="G448">
            <v>1200</v>
          </cell>
        </row>
        <row r="450">
          <cell r="B450" t="str">
            <v>XFMR-1004</v>
          </cell>
          <cell r="H450">
            <v>62400</v>
          </cell>
        </row>
        <row r="451">
          <cell r="B451" t="str">
            <v>BE</v>
          </cell>
          <cell r="D451">
            <v>1</v>
          </cell>
          <cell r="G451">
            <v>60000</v>
          </cell>
        </row>
        <row r="452">
          <cell r="B452" t="str">
            <v>QAQC</v>
          </cell>
          <cell r="D452">
            <v>0.02</v>
          </cell>
          <cell r="G452">
            <v>1200</v>
          </cell>
        </row>
        <row r="453">
          <cell r="B453" t="str">
            <v>Sprs</v>
          </cell>
          <cell r="D453">
            <v>0.02</v>
          </cell>
          <cell r="G453">
            <v>1200</v>
          </cell>
        </row>
        <row r="455">
          <cell r="B455" t="str">
            <v>XFMR-1005</v>
          </cell>
          <cell r="H455">
            <v>62400</v>
          </cell>
        </row>
        <row r="456">
          <cell r="B456" t="str">
            <v>BE</v>
          </cell>
          <cell r="D456">
            <v>1</v>
          </cell>
          <cell r="G456">
            <v>60000</v>
          </cell>
        </row>
        <row r="457">
          <cell r="B457" t="str">
            <v>QAQC</v>
          </cell>
          <cell r="D457">
            <v>0.02</v>
          </cell>
          <cell r="G457">
            <v>1200</v>
          </cell>
        </row>
        <row r="458">
          <cell r="B458" t="str">
            <v>Sprs</v>
          </cell>
          <cell r="D458">
            <v>0.02</v>
          </cell>
          <cell r="G458">
            <v>1200</v>
          </cell>
        </row>
        <row r="460">
          <cell r="B460" t="str">
            <v>MCC-1001</v>
          </cell>
          <cell r="H460">
            <v>116480</v>
          </cell>
        </row>
        <row r="461">
          <cell r="B461" t="str">
            <v>BE</v>
          </cell>
          <cell r="D461">
            <v>1</v>
          </cell>
          <cell r="G461">
            <v>112000</v>
          </cell>
        </row>
        <row r="462">
          <cell r="B462" t="str">
            <v>QAQC</v>
          </cell>
          <cell r="D462">
            <v>0.02</v>
          </cell>
          <cell r="G462">
            <v>2240</v>
          </cell>
        </row>
        <row r="463">
          <cell r="B463" t="str">
            <v>Sprs</v>
          </cell>
          <cell r="D463">
            <v>0.02</v>
          </cell>
          <cell r="G463">
            <v>2240</v>
          </cell>
        </row>
        <row r="465">
          <cell r="B465" t="str">
            <v>MCC-1002</v>
          </cell>
          <cell r="H465">
            <v>127140</v>
          </cell>
        </row>
        <row r="466">
          <cell r="B466" t="str">
            <v>BE</v>
          </cell>
          <cell r="D466">
            <v>1</v>
          </cell>
          <cell r="G466">
            <v>122250</v>
          </cell>
        </row>
        <row r="467">
          <cell r="B467" t="str">
            <v>QAQC</v>
          </cell>
          <cell r="D467">
            <v>0.02</v>
          </cell>
          <cell r="G467">
            <v>2445</v>
          </cell>
        </row>
        <row r="468">
          <cell r="B468" t="str">
            <v>Sprs</v>
          </cell>
          <cell r="D468">
            <v>0.02</v>
          </cell>
          <cell r="G468">
            <v>2445</v>
          </cell>
        </row>
        <row r="470">
          <cell r="B470" t="str">
            <v>MCC-1003</v>
          </cell>
          <cell r="H470">
            <v>0</v>
          </cell>
        </row>
        <row r="471">
          <cell r="B471" t="str">
            <v>BE</v>
          </cell>
          <cell r="D471">
            <v>0</v>
          </cell>
          <cell r="G471">
            <v>0</v>
          </cell>
        </row>
        <row r="472">
          <cell r="B472" t="str">
            <v>QAQC</v>
          </cell>
          <cell r="D472">
            <v>0.02</v>
          </cell>
          <cell r="G472">
            <v>0</v>
          </cell>
        </row>
        <row r="473">
          <cell r="B473" t="str">
            <v>Sprs</v>
          </cell>
          <cell r="D473">
            <v>0.02</v>
          </cell>
          <cell r="G473">
            <v>0</v>
          </cell>
        </row>
        <row r="475">
          <cell r="B475" t="str">
            <v>MCC-1004</v>
          </cell>
          <cell r="H475">
            <v>0</v>
          </cell>
        </row>
        <row r="476">
          <cell r="B476" t="str">
            <v>BE</v>
          </cell>
          <cell r="D476">
            <v>0</v>
          </cell>
          <cell r="G476">
            <v>0</v>
          </cell>
        </row>
        <row r="477">
          <cell r="B477" t="str">
            <v>QAQC</v>
          </cell>
          <cell r="D477">
            <v>0.02</v>
          </cell>
          <cell r="G477">
            <v>0</v>
          </cell>
        </row>
        <row r="478">
          <cell r="B478" t="str">
            <v>Sprs</v>
          </cell>
          <cell r="D478">
            <v>0.02</v>
          </cell>
          <cell r="G478">
            <v>0</v>
          </cell>
        </row>
        <row r="480">
          <cell r="B480" t="str">
            <v>MCC-1005</v>
          </cell>
          <cell r="H480">
            <v>153660</v>
          </cell>
        </row>
        <row r="481">
          <cell r="B481" t="str">
            <v>BE</v>
          </cell>
          <cell r="D481">
            <v>1</v>
          </cell>
          <cell r="G481">
            <v>147750</v>
          </cell>
        </row>
        <row r="482">
          <cell r="B482" t="str">
            <v>QAQC</v>
          </cell>
          <cell r="D482">
            <v>0.02</v>
          </cell>
          <cell r="G482">
            <v>2955</v>
          </cell>
        </row>
        <row r="483">
          <cell r="B483" t="str">
            <v>Sprs</v>
          </cell>
          <cell r="D483">
            <v>0.02</v>
          </cell>
          <cell r="G483">
            <v>2955</v>
          </cell>
        </row>
        <row r="485">
          <cell r="B485" t="str">
            <v>UPS-1001</v>
          </cell>
          <cell r="H485">
            <v>0</v>
          </cell>
        </row>
        <row r="486">
          <cell r="B486" t="str">
            <v>BE</v>
          </cell>
          <cell r="D486">
            <v>0</v>
          </cell>
          <cell r="G486">
            <v>0</v>
          </cell>
        </row>
        <row r="487">
          <cell r="B487" t="str">
            <v>QAQC</v>
          </cell>
          <cell r="D487">
            <v>0.02</v>
          </cell>
          <cell r="G487">
            <v>0</v>
          </cell>
        </row>
        <row r="488">
          <cell r="B488" t="str">
            <v>Sprs</v>
          </cell>
          <cell r="D488">
            <v>0.02</v>
          </cell>
          <cell r="G488">
            <v>0</v>
          </cell>
        </row>
        <row r="490">
          <cell r="B490" t="str">
            <v>PLC-1001</v>
          </cell>
          <cell r="H490">
            <v>85280</v>
          </cell>
        </row>
        <row r="491">
          <cell r="B491" t="str">
            <v>BE</v>
          </cell>
          <cell r="D491">
            <v>1</v>
          </cell>
          <cell r="G491">
            <v>82000</v>
          </cell>
        </row>
        <row r="492">
          <cell r="B492" t="str">
            <v>QAQC</v>
          </cell>
          <cell r="D492">
            <v>0.02</v>
          </cell>
          <cell r="G492">
            <v>1640</v>
          </cell>
        </row>
        <row r="493">
          <cell r="B493" t="str">
            <v>Sprs</v>
          </cell>
          <cell r="D493">
            <v>0.02</v>
          </cell>
          <cell r="G493">
            <v>1640</v>
          </cell>
        </row>
        <row r="495">
          <cell r="H495">
            <v>135200</v>
          </cell>
        </row>
        <row r="496">
          <cell r="B496" t="str">
            <v>BE</v>
          </cell>
          <cell r="D496">
            <v>1</v>
          </cell>
          <cell r="G496">
            <v>130000</v>
          </cell>
        </row>
        <row r="497">
          <cell r="B497" t="str">
            <v>QAQC</v>
          </cell>
          <cell r="D497">
            <v>0.02</v>
          </cell>
          <cell r="G497">
            <v>2600</v>
          </cell>
        </row>
        <row r="498">
          <cell r="B498" t="str">
            <v>Sprs</v>
          </cell>
          <cell r="D498">
            <v>0.02</v>
          </cell>
          <cell r="G498">
            <v>2600</v>
          </cell>
        </row>
        <row r="500">
          <cell r="H500">
            <v>104000</v>
          </cell>
        </row>
        <row r="501">
          <cell r="B501" t="str">
            <v>BE</v>
          </cell>
          <cell r="D501">
            <v>1</v>
          </cell>
          <cell r="G501">
            <v>100000</v>
          </cell>
        </row>
        <row r="502">
          <cell r="B502" t="str">
            <v>QAQC</v>
          </cell>
          <cell r="D502">
            <v>0.02</v>
          </cell>
          <cell r="G502">
            <v>2000</v>
          </cell>
        </row>
        <row r="503">
          <cell r="B503" t="str">
            <v>Sprs</v>
          </cell>
          <cell r="D503">
            <v>0.02</v>
          </cell>
          <cell r="G503">
            <v>2000</v>
          </cell>
        </row>
        <row r="505">
          <cell r="H505">
            <v>93600</v>
          </cell>
        </row>
        <row r="506">
          <cell r="B506" t="str">
            <v>BE</v>
          </cell>
          <cell r="D506">
            <v>1</v>
          </cell>
          <cell r="G506">
            <v>90000</v>
          </cell>
        </row>
        <row r="507">
          <cell r="B507" t="str">
            <v>QAQC</v>
          </cell>
          <cell r="D507">
            <v>0.02</v>
          </cell>
          <cell r="G507">
            <v>1800</v>
          </cell>
        </row>
        <row r="508">
          <cell r="B508" t="str">
            <v>Sprs</v>
          </cell>
          <cell r="D508">
            <v>0.02</v>
          </cell>
          <cell r="G508">
            <v>1800</v>
          </cell>
        </row>
        <row r="510">
          <cell r="H510">
            <v>46899.839999999997</v>
          </cell>
        </row>
        <row r="511">
          <cell r="B511" t="str">
            <v>BE</v>
          </cell>
          <cell r="D511">
            <v>1</v>
          </cell>
          <cell r="G511">
            <v>45096</v>
          </cell>
        </row>
        <row r="512">
          <cell r="B512" t="str">
            <v>QAQC</v>
          </cell>
          <cell r="D512">
            <v>0.02</v>
          </cell>
          <cell r="G512">
            <v>901.92000000000007</v>
          </cell>
        </row>
        <row r="513">
          <cell r="B513" t="str">
            <v>Sprs</v>
          </cell>
          <cell r="D513">
            <v>0.02</v>
          </cell>
          <cell r="G513">
            <v>901.92000000000007</v>
          </cell>
        </row>
        <row r="515">
          <cell r="H515">
            <v>137904</v>
          </cell>
        </row>
        <row r="516">
          <cell r="B516" t="str">
            <v>BE</v>
          </cell>
          <cell r="D516">
            <v>1</v>
          </cell>
          <cell r="G516">
            <v>132600</v>
          </cell>
        </row>
        <row r="517">
          <cell r="B517" t="str">
            <v>QAQC</v>
          </cell>
          <cell r="D517">
            <v>0.02</v>
          </cell>
          <cell r="G517">
            <v>2652</v>
          </cell>
        </row>
        <row r="518">
          <cell r="B518" t="str">
            <v>Sprs</v>
          </cell>
          <cell r="D518">
            <v>0.02</v>
          </cell>
          <cell r="G518">
            <v>2652</v>
          </cell>
        </row>
        <row r="520">
          <cell r="H520">
            <v>41600</v>
          </cell>
        </row>
        <row r="521">
          <cell r="B521" t="str">
            <v>BE</v>
          </cell>
          <cell r="D521">
            <v>1</v>
          </cell>
          <cell r="G521">
            <v>40000</v>
          </cell>
        </row>
        <row r="522">
          <cell r="B522" t="str">
            <v>QAQC</v>
          </cell>
          <cell r="D522">
            <v>0.02</v>
          </cell>
          <cell r="G522">
            <v>800</v>
          </cell>
        </row>
        <row r="523">
          <cell r="B523" t="str">
            <v>Sprs</v>
          </cell>
          <cell r="D523">
            <v>0.02</v>
          </cell>
          <cell r="G523">
            <v>800</v>
          </cell>
        </row>
        <row r="525">
          <cell r="H525">
            <v>120640</v>
          </cell>
        </row>
        <row r="526">
          <cell r="B526" t="str">
            <v>BE</v>
          </cell>
          <cell r="D526">
            <v>1</v>
          </cell>
          <cell r="G526">
            <v>116000</v>
          </cell>
        </row>
        <row r="527">
          <cell r="B527" t="str">
            <v>QAQC</v>
          </cell>
          <cell r="D527">
            <v>0.02</v>
          </cell>
          <cell r="G527">
            <v>2320</v>
          </cell>
        </row>
        <row r="528">
          <cell r="B528" t="str">
            <v>Sprs</v>
          </cell>
          <cell r="D528">
            <v>0.02</v>
          </cell>
          <cell r="G528">
            <v>2320</v>
          </cell>
        </row>
        <row r="530">
          <cell r="H530">
            <v>28080</v>
          </cell>
        </row>
        <row r="531">
          <cell r="B531" t="str">
            <v>BE</v>
          </cell>
          <cell r="D531">
            <v>1</v>
          </cell>
          <cell r="G531">
            <v>27000</v>
          </cell>
        </row>
        <row r="532">
          <cell r="B532" t="str">
            <v>QAQC</v>
          </cell>
          <cell r="D532">
            <v>0.02</v>
          </cell>
          <cell r="G532">
            <v>540</v>
          </cell>
        </row>
        <row r="533">
          <cell r="B533" t="str">
            <v>Sprs</v>
          </cell>
          <cell r="D533">
            <v>0.02</v>
          </cell>
          <cell r="G533">
            <v>540</v>
          </cell>
        </row>
        <row r="535">
          <cell r="H535">
            <v>184513.68</v>
          </cell>
        </row>
        <row r="536">
          <cell r="B536" t="str">
            <v>BE</v>
          </cell>
          <cell r="D536">
            <v>1</v>
          </cell>
          <cell r="G536">
            <v>177417</v>
          </cell>
        </row>
        <row r="537">
          <cell r="B537" t="str">
            <v>QAQC</v>
          </cell>
          <cell r="D537">
            <v>0.02</v>
          </cell>
          <cell r="G537">
            <v>3548.34</v>
          </cell>
        </row>
        <row r="538">
          <cell r="B538" t="str">
            <v>Sprs</v>
          </cell>
          <cell r="D538">
            <v>0.02</v>
          </cell>
          <cell r="G538">
            <v>3548.34</v>
          </cell>
        </row>
        <row r="540">
          <cell r="H540">
            <v>104000</v>
          </cell>
        </row>
        <row r="541">
          <cell r="B541" t="str">
            <v>BE</v>
          </cell>
          <cell r="D541">
            <v>1</v>
          </cell>
          <cell r="G541">
            <v>100000</v>
          </cell>
        </row>
        <row r="542">
          <cell r="B542" t="str">
            <v>QAQC</v>
          </cell>
          <cell r="D542">
            <v>0.02</v>
          </cell>
          <cell r="G542">
            <v>2000</v>
          </cell>
        </row>
        <row r="543">
          <cell r="B543" t="str">
            <v>Sprs</v>
          </cell>
          <cell r="D543">
            <v>0.02</v>
          </cell>
          <cell r="G543">
            <v>2000</v>
          </cell>
        </row>
        <row r="545">
          <cell r="H545">
            <v>35880</v>
          </cell>
        </row>
        <row r="546">
          <cell r="B546" t="str">
            <v>BE</v>
          </cell>
          <cell r="D546">
            <v>1</v>
          </cell>
          <cell r="G546">
            <v>34500</v>
          </cell>
        </row>
        <row r="547">
          <cell r="B547" t="str">
            <v>QAQC</v>
          </cell>
          <cell r="D547">
            <v>0.02</v>
          </cell>
          <cell r="G547">
            <v>690</v>
          </cell>
        </row>
        <row r="548">
          <cell r="B548" t="str">
            <v>Sprs</v>
          </cell>
          <cell r="D548">
            <v>0.02</v>
          </cell>
          <cell r="G548">
            <v>690</v>
          </cell>
        </row>
        <row r="550">
          <cell r="H550">
            <v>82680</v>
          </cell>
        </row>
        <row r="551">
          <cell r="B551" t="str">
            <v>BE</v>
          </cell>
          <cell r="D551">
            <v>1</v>
          </cell>
          <cell r="G551">
            <v>79500</v>
          </cell>
        </row>
        <row r="552">
          <cell r="B552" t="str">
            <v>QAQC</v>
          </cell>
          <cell r="D552">
            <v>0.02</v>
          </cell>
          <cell r="G552">
            <v>1590</v>
          </cell>
        </row>
        <row r="553">
          <cell r="B553" t="str">
            <v>Sprs</v>
          </cell>
          <cell r="D553">
            <v>0.02</v>
          </cell>
          <cell r="G553">
            <v>1590</v>
          </cell>
        </row>
        <row r="555">
          <cell r="H555">
            <v>0</v>
          </cell>
        </row>
        <row r="556">
          <cell r="B556" t="str">
            <v>BE</v>
          </cell>
          <cell r="D556">
            <v>0</v>
          </cell>
          <cell r="G556">
            <v>0</v>
          </cell>
        </row>
        <row r="557">
          <cell r="B557" t="str">
            <v>QAQC</v>
          </cell>
          <cell r="D557">
            <v>0.02</v>
          </cell>
          <cell r="G557">
            <v>0</v>
          </cell>
        </row>
        <row r="558">
          <cell r="B558" t="str">
            <v>Sprs</v>
          </cell>
          <cell r="D558">
            <v>0.02</v>
          </cell>
          <cell r="G558">
            <v>0</v>
          </cell>
        </row>
        <row r="560">
          <cell r="H560">
            <v>384800</v>
          </cell>
        </row>
        <row r="561">
          <cell r="B561" t="str">
            <v>BE</v>
          </cell>
          <cell r="D561">
            <v>1</v>
          </cell>
          <cell r="G561">
            <v>370000</v>
          </cell>
        </row>
        <row r="562">
          <cell r="B562" t="str">
            <v>QAQC</v>
          </cell>
          <cell r="D562">
            <v>0.02</v>
          </cell>
          <cell r="G562">
            <v>7400</v>
          </cell>
        </row>
        <row r="563">
          <cell r="B563" t="str">
            <v>Sprs</v>
          </cell>
          <cell r="D563">
            <v>0.02</v>
          </cell>
          <cell r="G563">
            <v>7400</v>
          </cell>
        </row>
        <row r="565">
          <cell r="H565">
            <v>0</v>
          </cell>
        </row>
        <row r="566">
          <cell r="B566" t="str">
            <v>BE</v>
          </cell>
          <cell r="D566">
            <v>0</v>
          </cell>
          <cell r="G566">
            <v>0</v>
          </cell>
        </row>
        <row r="567">
          <cell r="B567" t="str">
            <v>QAQC</v>
          </cell>
          <cell r="D567">
            <v>0.02</v>
          </cell>
          <cell r="G567">
            <v>0</v>
          </cell>
        </row>
        <row r="568">
          <cell r="B568" t="str">
            <v>Sprs</v>
          </cell>
          <cell r="D568">
            <v>0.02</v>
          </cell>
          <cell r="G568">
            <v>0</v>
          </cell>
        </row>
        <row r="570">
          <cell r="H570">
            <v>16582.8</v>
          </cell>
        </row>
        <row r="571">
          <cell r="B571" t="str">
            <v>BE</v>
          </cell>
          <cell r="D571">
            <v>1</v>
          </cell>
          <cell r="G571">
            <v>15945</v>
          </cell>
        </row>
        <row r="572">
          <cell r="B572" t="str">
            <v>QAQC</v>
          </cell>
          <cell r="D572">
            <v>0.02</v>
          </cell>
          <cell r="G572">
            <v>318.90000000000003</v>
          </cell>
        </row>
        <row r="573">
          <cell r="B573" t="str">
            <v>Sprs</v>
          </cell>
          <cell r="D573">
            <v>0.02</v>
          </cell>
          <cell r="G573">
            <v>318.90000000000003</v>
          </cell>
        </row>
        <row r="575">
          <cell r="H575">
            <v>104000</v>
          </cell>
        </row>
        <row r="576">
          <cell r="B576" t="str">
            <v>BE</v>
          </cell>
          <cell r="D576">
            <v>1</v>
          </cell>
          <cell r="G576">
            <v>100000</v>
          </cell>
        </row>
        <row r="577">
          <cell r="B577" t="str">
            <v>QAQC</v>
          </cell>
          <cell r="D577">
            <v>0.02</v>
          </cell>
          <cell r="G577">
            <v>2000</v>
          </cell>
        </row>
        <row r="578">
          <cell r="B578" t="str">
            <v>Sprs</v>
          </cell>
          <cell r="D578">
            <v>0.02</v>
          </cell>
          <cell r="G578">
            <v>2000</v>
          </cell>
        </row>
        <row r="580">
          <cell r="H580">
            <v>2278774.16</v>
          </cell>
        </row>
        <row r="581">
          <cell r="B581" t="str">
            <v>ZZZ-4430</v>
          </cell>
          <cell r="D581">
            <v>1</v>
          </cell>
          <cell r="G581">
            <v>2191129</v>
          </cell>
        </row>
        <row r="582">
          <cell r="B582" t="str">
            <v>ZAN-4430</v>
          </cell>
        </row>
        <row r="583">
          <cell r="B583" t="str">
            <v>ZZZ-4431</v>
          </cell>
        </row>
        <row r="584">
          <cell r="B584" t="str">
            <v>ZZZ-4432</v>
          </cell>
        </row>
        <row r="585">
          <cell r="B585" t="str">
            <v>ZAL-4433</v>
          </cell>
        </row>
        <row r="586">
          <cell r="B586" t="str">
            <v>ZAL-4434</v>
          </cell>
        </row>
        <row r="587">
          <cell r="B587" t="str">
            <v>HZZ-4435</v>
          </cell>
        </row>
        <row r="588">
          <cell r="B588" t="str">
            <v>PBE-4436</v>
          </cell>
        </row>
        <row r="589">
          <cell r="B589" t="str">
            <v>QAQC</v>
          </cell>
          <cell r="D589">
            <v>0.02</v>
          </cell>
          <cell r="G589">
            <v>43822.58</v>
          </cell>
        </row>
        <row r="590">
          <cell r="B590" t="str">
            <v>Sprs</v>
          </cell>
          <cell r="D590">
            <v>0.02</v>
          </cell>
          <cell r="G590">
            <v>43822.58</v>
          </cell>
        </row>
        <row r="591">
          <cell r="D591">
            <v>0</v>
          </cell>
          <cell r="G591">
            <v>0</v>
          </cell>
        </row>
        <row r="593">
          <cell r="H593">
            <v>2278774.16</v>
          </cell>
        </row>
        <row r="594">
          <cell r="B594" t="str">
            <v>ZZZ-4450</v>
          </cell>
          <cell r="D594">
            <v>1</v>
          </cell>
          <cell r="G594">
            <v>2191129</v>
          </cell>
        </row>
        <row r="595">
          <cell r="B595" t="str">
            <v>ZAN-4450</v>
          </cell>
        </row>
        <row r="596">
          <cell r="B596" t="str">
            <v>ZZZ-4451</v>
          </cell>
        </row>
        <row r="597">
          <cell r="B597" t="str">
            <v>ZZZ-4452</v>
          </cell>
        </row>
        <row r="598">
          <cell r="B598" t="str">
            <v>ZAL-4453</v>
          </cell>
        </row>
        <row r="599">
          <cell r="B599" t="str">
            <v>ZAL-4454</v>
          </cell>
        </row>
        <row r="600">
          <cell r="B600" t="str">
            <v>HZZ-4455</v>
          </cell>
        </row>
        <row r="601">
          <cell r="B601" t="str">
            <v>PBE-4456</v>
          </cell>
        </row>
        <row r="602">
          <cell r="B602" t="str">
            <v>QAQC</v>
          </cell>
          <cell r="D602">
            <v>0.02</v>
          </cell>
          <cell r="G602">
            <v>43822.58</v>
          </cell>
        </row>
        <row r="603">
          <cell r="B603" t="str">
            <v>Sprs</v>
          </cell>
          <cell r="D603">
            <v>0.02</v>
          </cell>
          <cell r="G603">
            <v>43822.58</v>
          </cell>
        </row>
        <row r="604">
          <cell r="D604">
            <v>0</v>
          </cell>
          <cell r="G604">
            <v>0</v>
          </cell>
        </row>
        <row r="606">
          <cell r="H606">
            <v>624000</v>
          </cell>
        </row>
        <row r="607">
          <cell r="B607" t="str">
            <v>ZAN-4830</v>
          </cell>
          <cell r="D607">
            <v>1</v>
          </cell>
          <cell r="G607">
            <v>600000</v>
          </cell>
        </row>
        <row r="608">
          <cell r="B608" t="str">
            <v>QAQC</v>
          </cell>
          <cell r="D608">
            <v>0.02</v>
          </cell>
          <cell r="G608">
            <v>12000</v>
          </cell>
        </row>
        <row r="609">
          <cell r="B609" t="str">
            <v>Sprs</v>
          </cell>
          <cell r="D609">
            <v>0.02</v>
          </cell>
          <cell r="G609">
            <v>12000</v>
          </cell>
        </row>
        <row r="610">
          <cell r="D610">
            <v>0</v>
          </cell>
          <cell r="G610">
            <v>0</v>
          </cell>
        </row>
        <row r="614">
          <cell r="H614">
            <v>2721073.6</v>
          </cell>
        </row>
        <row r="615">
          <cell r="B615" t="str">
            <v>FAB</v>
          </cell>
          <cell r="D615">
            <v>387</v>
          </cell>
          <cell r="G615">
            <v>1539099</v>
          </cell>
        </row>
        <row r="616">
          <cell r="B616" t="str">
            <v>FAB</v>
          </cell>
          <cell r="D616">
            <v>14</v>
          </cell>
          <cell r="G616">
            <v>128534</v>
          </cell>
        </row>
        <row r="617">
          <cell r="B617" t="str">
            <v>FAB</v>
          </cell>
          <cell r="D617">
            <v>13</v>
          </cell>
          <cell r="G617">
            <v>79703</v>
          </cell>
        </row>
        <row r="618">
          <cell r="B618" t="str">
            <v>FAB</v>
          </cell>
          <cell r="D618">
            <v>10</v>
          </cell>
          <cell r="G618">
            <v>46160</v>
          </cell>
        </row>
        <row r="619">
          <cell r="B619" t="str">
            <v>FAB</v>
          </cell>
          <cell r="D619">
            <v>88</v>
          </cell>
          <cell r="G619">
            <v>300080</v>
          </cell>
        </row>
        <row r="620">
          <cell r="B620" t="str">
            <v>FAB</v>
          </cell>
          <cell r="D620">
            <v>0.1</v>
          </cell>
          <cell r="G620">
            <v>209357.6</v>
          </cell>
        </row>
        <row r="622">
          <cell r="B622" t="str">
            <v>FAB</v>
          </cell>
          <cell r="D622">
            <v>0</v>
          </cell>
          <cell r="G622">
            <v>0</v>
          </cell>
        </row>
        <row r="623">
          <cell r="B623" t="str">
            <v>FAB</v>
          </cell>
          <cell r="D623">
            <v>0.5</v>
          </cell>
          <cell r="G623">
            <v>35000</v>
          </cell>
        </row>
        <row r="624">
          <cell r="B624" t="str">
            <v>FAB</v>
          </cell>
          <cell r="D624">
            <v>0.5</v>
          </cell>
          <cell r="G624">
            <v>15000</v>
          </cell>
        </row>
        <row r="625">
          <cell r="B625" t="str">
            <v>FAB</v>
          </cell>
          <cell r="D625">
            <v>0.5</v>
          </cell>
          <cell r="G625">
            <v>19500</v>
          </cell>
        </row>
        <row r="626">
          <cell r="B626" t="str">
            <v>FAB</v>
          </cell>
          <cell r="D626">
            <v>0.5</v>
          </cell>
          <cell r="G626">
            <v>25000</v>
          </cell>
        </row>
        <row r="627">
          <cell r="B627" t="str">
            <v>FAB</v>
          </cell>
          <cell r="D627">
            <v>20</v>
          </cell>
          <cell r="G627">
            <v>79540</v>
          </cell>
        </row>
        <row r="628">
          <cell r="B628" t="str">
            <v>FAB</v>
          </cell>
          <cell r="D628">
            <v>8</v>
          </cell>
          <cell r="G628">
            <v>28000</v>
          </cell>
        </row>
        <row r="629">
          <cell r="B629" t="str">
            <v>FAB</v>
          </cell>
          <cell r="D629">
            <v>20</v>
          </cell>
          <cell r="G629">
            <v>70000</v>
          </cell>
        </row>
        <row r="630">
          <cell r="B630" t="str">
            <v>FAB</v>
          </cell>
          <cell r="D630">
            <v>24</v>
          </cell>
          <cell r="G630">
            <v>72000</v>
          </cell>
        </row>
        <row r="631">
          <cell r="B631" t="str">
            <v>FAB</v>
          </cell>
          <cell r="D631">
            <v>1</v>
          </cell>
          <cell r="G631">
            <v>10000</v>
          </cell>
        </row>
        <row r="632">
          <cell r="B632" t="str">
            <v>FAB</v>
          </cell>
          <cell r="D632">
            <v>1</v>
          </cell>
          <cell r="G632">
            <v>15000</v>
          </cell>
        </row>
        <row r="633">
          <cell r="B633" t="str">
            <v>FAB</v>
          </cell>
          <cell r="D633">
            <v>1</v>
          </cell>
          <cell r="G633">
            <v>15000</v>
          </cell>
        </row>
        <row r="634">
          <cell r="B634" t="str">
            <v>FAB</v>
          </cell>
          <cell r="D634">
            <v>10</v>
          </cell>
          <cell r="G634">
            <v>34100</v>
          </cell>
        </row>
        <row r="635">
          <cell r="B635" t="str">
            <v>FAB</v>
          </cell>
          <cell r="D635">
            <v>0</v>
          </cell>
          <cell r="G635">
            <v>0</v>
          </cell>
        </row>
        <row r="636">
          <cell r="B636" t="str">
            <v>FAB</v>
          </cell>
          <cell r="D636">
            <v>0</v>
          </cell>
          <cell r="G636">
            <v>0</v>
          </cell>
        </row>
        <row r="638">
          <cell r="H638">
            <v>2686699.7</v>
          </cell>
        </row>
        <row r="639">
          <cell r="B639" t="str">
            <v>FAB</v>
          </cell>
          <cell r="D639">
            <v>368</v>
          </cell>
          <cell r="G639">
            <v>1064992</v>
          </cell>
        </row>
        <row r="640">
          <cell r="B640" t="str">
            <v>FAB</v>
          </cell>
          <cell r="D640">
            <v>30</v>
          </cell>
          <cell r="G640">
            <v>113490</v>
          </cell>
        </row>
        <row r="641">
          <cell r="B641" t="str">
            <v>FAB</v>
          </cell>
          <cell r="D641">
            <v>14</v>
          </cell>
          <cell r="G641">
            <v>115836</v>
          </cell>
        </row>
        <row r="642">
          <cell r="B642" t="str">
            <v>FAB</v>
          </cell>
          <cell r="D642">
            <v>501</v>
          </cell>
          <cell r="G642">
            <v>743484</v>
          </cell>
        </row>
        <row r="643">
          <cell r="B643" t="str">
            <v>FAB</v>
          </cell>
          <cell r="D643">
            <v>25</v>
          </cell>
          <cell r="G643">
            <v>168125</v>
          </cell>
        </row>
        <row r="644">
          <cell r="B644" t="str">
            <v>FAB</v>
          </cell>
          <cell r="D644">
            <v>40</v>
          </cell>
          <cell r="G644">
            <v>102800</v>
          </cell>
        </row>
        <row r="645">
          <cell r="B645" t="str">
            <v>FAB</v>
          </cell>
          <cell r="D645">
            <v>0.1</v>
          </cell>
          <cell r="G645">
            <v>230872.7</v>
          </cell>
        </row>
        <row r="647">
          <cell r="B647" t="str">
            <v>FAB</v>
          </cell>
          <cell r="D647">
            <v>0.25</v>
          </cell>
          <cell r="G647">
            <v>41475</v>
          </cell>
        </row>
        <row r="648">
          <cell r="B648" t="str">
            <v>FAB</v>
          </cell>
          <cell r="D648">
            <v>0.25</v>
          </cell>
          <cell r="G648">
            <v>7500</v>
          </cell>
        </row>
        <row r="649">
          <cell r="B649" t="str">
            <v>FAB</v>
          </cell>
          <cell r="D649">
            <v>0.25</v>
          </cell>
          <cell r="G649">
            <v>7500</v>
          </cell>
        </row>
        <row r="650">
          <cell r="B650" t="str">
            <v>FAB</v>
          </cell>
          <cell r="D650">
            <v>0.25</v>
          </cell>
          <cell r="G650">
            <v>31075</v>
          </cell>
        </row>
        <row r="651">
          <cell r="B651" t="str">
            <v>FAB</v>
          </cell>
          <cell r="D651">
            <v>10</v>
          </cell>
          <cell r="G651">
            <v>30000</v>
          </cell>
        </row>
        <row r="652">
          <cell r="B652" t="str">
            <v>FAB</v>
          </cell>
          <cell r="D652">
            <v>1</v>
          </cell>
          <cell r="G652">
            <v>5000</v>
          </cell>
        </row>
        <row r="653">
          <cell r="B653" t="str">
            <v>FAB</v>
          </cell>
          <cell r="D653">
            <v>1</v>
          </cell>
          <cell r="G653">
            <v>7500</v>
          </cell>
        </row>
        <row r="654">
          <cell r="B654" t="str">
            <v>FAB</v>
          </cell>
          <cell r="D654">
            <v>5</v>
          </cell>
          <cell r="G654">
            <v>17050</v>
          </cell>
        </row>
        <row r="655">
          <cell r="B655" t="str">
            <v>FAB</v>
          </cell>
          <cell r="D655">
            <v>0</v>
          </cell>
          <cell r="G655">
            <v>0</v>
          </cell>
        </row>
        <row r="656">
          <cell r="B656" t="str">
            <v>FAB</v>
          </cell>
          <cell r="D656">
            <v>0</v>
          </cell>
          <cell r="G656">
            <v>0</v>
          </cell>
        </row>
        <row r="658">
          <cell r="H658">
            <v>5721842.0599999996</v>
          </cell>
        </row>
        <row r="659">
          <cell r="B659" t="str">
            <v>FAB</v>
          </cell>
          <cell r="D659">
            <v>672</v>
          </cell>
          <cell r="G659">
            <v>30240</v>
          </cell>
        </row>
        <row r="660">
          <cell r="B660" t="str">
            <v>FAB</v>
          </cell>
          <cell r="D660">
            <v>2750</v>
          </cell>
          <cell r="G660">
            <v>123750</v>
          </cell>
        </row>
        <row r="661">
          <cell r="B661" t="str">
            <v>FAB</v>
          </cell>
          <cell r="D661">
            <v>672</v>
          </cell>
          <cell r="G661">
            <v>120960</v>
          </cell>
        </row>
        <row r="662">
          <cell r="B662" t="str">
            <v>FAB</v>
          </cell>
          <cell r="D662">
            <v>45</v>
          </cell>
          <cell r="G662">
            <v>362340</v>
          </cell>
        </row>
        <row r="663">
          <cell r="B663" t="str">
            <v>FAB</v>
          </cell>
          <cell r="D663">
            <v>30</v>
          </cell>
          <cell r="G663">
            <v>291720</v>
          </cell>
        </row>
        <row r="664">
          <cell r="B664" t="str">
            <v>FAB</v>
          </cell>
          <cell r="D664">
            <v>1</v>
          </cell>
          <cell r="G664">
            <v>382525</v>
          </cell>
        </row>
        <row r="665">
          <cell r="B665" t="str">
            <v>FAB</v>
          </cell>
          <cell r="D665">
            <v>0.1</v>
          </cell>
          <cell r="G665">
            <v>38252.5</v>
          </cell>
        </row>
        <row r="666">
          <cell r="B666" t="str">
            <v>FAB</v>
          </cell>
          <cell r="D666">
            <v>1</v>
          </cell>
          <cell r="G666">
            <v>1710751</v>
          </cell>
        </row>
        <row r="667">
          <cell r="B667" t="str">
            <v>FAB</v>
          </cell>
          <cell r="D667">
            <v>0.1</v>
          </cell>
          <cell r="G667">
            <v>171075.1</v>
          </cell>
        </row>
        <row r="668">
          <cell r="B668" t="str">
            <v>FAB</v>
          </cell>
          <cell r="D668">
            <v>1</v>
          </cell>
          <cell r="G668">
            <v>137808.81</v>
          </cell>
        </row>
        <row r="669">
          <cell r="B669" t="str">
            <v>FAB</v>
          </cell>
          <cell r="D669">
            <v>1</v>
          </cell>
          <cell r="G669">
            <v>45000</v>
          </cell>
        </row>
        <row r="670">
          <cell r="B670" t="str">
            <v>FAB</v>
          </cell>
          <cell r="D670">
            <v>1</v>
          </cell>
          <cell r="G670">
            <v>175000</v>
          </cell>
        </row>
        <row r="671">
          <cell r="B671" t="str">
            <v>FAB</v>
          </cell>
          <cell r="D671">
            <v>22000</v>
          </cell>
          <cell r="G671">
            <v>770000</v>
          </cell>
        </row>
        <row r="672">
          <cell r="B672" t="str">
            <v>FAB</v>
          </cell>
          <cell r="D672">
            <v>1</v>
          </cell>
          <cell r="G672">
            <v>924000</v>
          </cell>
        </row>
        <row r="673">
          <cell r="B673" t="str">
            <v>FAB</v>
          </cell>
          <cell r="D673">
            <v>453.04</v>
          </cell>
          <cell r="G673">
            <v>13591.2</v>
          </cell>
        </row>
        <row r="674">
          <cell r="B674" t="str">
            <v>FAB</v>
          </cell>
          <cell r="D674">
            <v>1</v>
          </cell>
          <cell r="G674">
            <v>25956.3</v>
          </cell>
        </row>
        <row r="675">
          <cell r="B675" t="str">
            <v>FAB</v>
          </cell>
          <cell r="D675">
            <v>59.2</v>
          </cell>
          <cell r="G675">
            <v>1953.6000000000001</v>
          </cell>
        </row>
        <row r="676">
          <cell r="B676" t="str">
            <v>FAB</v>
          </cell>
          <cell r="D676">
            <v>1</v>
          </cell>
          <cell r="G676">
            <v>4618.75</v>
          </cell>
        </row>
        <row r="677">
          <cell r="B677" t="str">
            <v>FAB</v>
          </cell>
          <cell r="D677">
            <v>1</v>
          </cell>
          <cell r="G677">
            <v>45000</v>
          </cell>
        </row>
        <row r="678">
          <cell r="B678" t="str">
            <v>FAB</v>
          </cell>
          <cell r="D678">
            <v>1</v>
          </cell>
          <cell r="G678">
            <v>31500</v>
          </cell>
        </row>
        <row r="679">
          <cell r="B679" t="str">
            <v>FAB</v>
          </cell>
          <cell r="D679">
            <v>0.66</v>
          </cell>
          <cell r="G679">
            <v>44550</v>
          </cell>
        </row>
        <row r="680">
          <cell r="B680" t="str">
            <v>FAB</v>
          </cell>
          <cell r="D680">
            <v>250</v>
          </cell>
          <cell r="G680">
            <v>11250</v>
          </cell>
        </row>
        <row r="681">
          <cell r="B681" t="str">
            <v>FAB</v>
          </cell>
          <cell r="D681">
            <v>2444.44</v>
          </cell>
          <cell r="G681">
            <v>109999.8</v>
          </cell>
        </row>
        <row r="682">
          <cell r="B682" t="str">
            <v>FAB</v>
          </cell>
          <cell r="D682">
            <v>1</v>
          </cell>
          <cell r="G682">
            <v>50000</v>
          </cell>
        </row>
        <row r="683">
          <cell r="B683" t="str">
            <v>FAB</v>
          </cell>
          <cell r="D683">
            <v>10</v>
          </cell>
          <cell r="G683">
            <v>100000</v>
          </cell>
        </row>
        <row r="684">
          <cell r="B684" t="str">
            <v>FAB</v>
          </cell>
          <cell r="D684">
            <v>0</v>
          </cell>
          <cell r="G684">
            <v>0</v>
          </cell>
        </row>
        <row r="685">
          <cell r="B685" t="str">
            <v>FAB</v>
          </cell>
          <cell r="D685">
            <v>0</v>
          </cell>
          <cell r="G685">
            <v>0</v>
          </cell>
        </row>
        <row r="687">
          <cell r="H687">
            <v>971363.5</v>
          </cell>
        </row>
        <row r="688">
          <cell r="B688" t="str">
            <v>FAB</v>
          </cell>
          <cell r="D688">
            <v>57.6</v>
          </cell>
          <cell r="G688">
            <v>216000</v>
          </cell>
        </row>
        <row r="689">
          <cell r="B689" t="str">
            <v>FAB</v>
          </cell>
          <cell r="D689">
            <v>185</v>
          </cell>
          <cell r="G689">
            <v>8325</v>
          </cell>
        </row>
        <row r="690">
          <cell r="B690" t="str">
            <v>FAB</v>
          </cell>
          <cell r="D690">
            <v>3700</v>
          </cell>
          <cell r="G690">
            <v>129500</v>
          </cell>
        </row>
        <row r="691">
          <cell r="B691" t="str">
            <v>FAB</v>
          </cell>
          <cell r="D691">
            <v>1850</v>
          </cell>
          <cell r="G691">
            <v>64750</v>
          </cell>
        </row>
        <row r="692">
          <cell r="B692" t="str">
            <v>FAB</v>
          </cell>
          <cell r="D692">
            <v>5</v>
          </cell>
          <cell r="G692">
            <v>40000</v>
          </cell>
        </row>
        <row r="693">
          <cell r="B693" t="str">
            <v>FAB</v>
          </cell>
          <cell r="D693">
            <v>20</v>
          </cell>
          <cell r="G693">
            <v>84000</v>
          </cell>
        </row>
        <row r="694">
          <cell r="B694" t="str">
            <v>FAB</v>
          </cell>
          <cell r="D694">
            <v>20</v>
          </cell>
          <cell r="G694">
            <v>196000</v>
          </cell>
        </row>
        <row r="695">
          <cell r="B695" t="str">
            <v>FAB</v>
          </cell>
          <cell r="D695">
            <v>0.18</v>
          </cell>
          <cell r="G695">
            <v>132943.5</v>
          </cell>
        </row>
        <row r="696">
          <cell r="B696" t="str">
            <v>FAB</v>
          </cell>
          <cell r="D696">
            <v>1</v>
          </cell>
          <cell r="G696">
            <v>20000</v>
          </cell>
        </row>
        <row r="697">
          <cell r="B697" t="str">
            <v>FAB</v>
          </cell>
          <cell r="D697">
            <v>150</v>
          </cell>
          <cell r="G697">
            <v>5250</v>
          </cell>
        </row>
        <row r="698">
          <cell r="B698" t="str">
            <v>FAB</v>
          </cell>
          <cell r="D698">
            <v>1</v>
          </cell>
          <cell r="G698">
            <v>3500</v>
          </cell>
        </row>
        <row r="699">
          <cell r="B699" t="str">
            <v>FAB</v>
          </cell>
          <cell r="D699">
            <v>1</v>
          </cell>
          <cell r="G699">
            <v>10000</v>
          </cell>
        </row>
        <row r="700">
          <cell r="B700" t="str">
            <v>FAB</v>
          </cell>
          <cell r="D700">
            <v>2</v>
          </cell>
          <cell r="G700">
            <v>6000</v>
          </cell>
        </row>
        <row r="701">
          <cell r="B701" t="str">
            <v>FAB</v>
          </cell>
          <cell r="D701">
            <v>330</v>
          </cell>
          <cell r="G701">
            <v>3795</v>
          </cell>
        </row>
        <row r="702">
          <cell r="B702" t="str">
            <v>FAB</v>
          </cell>
          <cell r="D702">
            <v>1</v>
          </cell>
          <cell r="G702">
            <v>6300</v>
          </cell>
        </row>
        <row r="703">
          <cell r="B703" t="str">
            <v>FAB</v>
          </cell>
          <cell r="D703">
            <v>1</v>
          </cell>
          <cell r="G703">
            <v>45000</v>
          </cell>
        </row>
        <row r="704">
          <cell r="B704" t="str">
            <v>FAB</v>
          </cell>
          <cell r="D704">
            <v>0</v>
          </cell>
          <cell r="G704">
            <v>0</v>
          </cell>
        </row>
        <row r="705">
          <cell r="B705" t="str">
            <v>FAB</v>
          </cell>
          <cell r="D705">
            <v>0</v>
          </cell>
          <cell r="G705">
            <v>0</v>
          </cell>
        </row>
        <row r="707">
          <cell r="G707" t="str">
            <v xml:space="preserve"> </v>
          </cell>
          <cell r="H707" t="str">
            <v xml:space="preserve"> </v>
          </cell>
        </row>
        <row r="709">
          <cell r="B709" t="str">
            <v>DomTrsp</v>
          </cell>
          <cell r="D709">
            <v>0.04</v>
          </cell>
          <cell r="H709">
            <v>826878.33279999997</v>
          </cell>
        </row>
        <row r="711">
          <cell r="H711">
            <v>1500000</v>
          </cell>
        </row>
        <row r="712">
          <cell r="B712" t="str">
            <v>DedBarg</v>
          </cell>
          <cell r="D712">
            <v>1</v>
          </cell>
          <cell r="G712">
            <v>1500000</v>
          </cell>
        </row>
        <row r="713">
          <cell r="B713" t="str">
            <v>Frgt</v>
          </cell>
          <cell r="D713">
            <v>0</v>
          </cell>
          <cell r="G713">
            <v>0</v>
          </cell>
        </row>
        <row r="714">
          <cell r="B714" t="str">
            <v>Frgt</v>
          </cell>
          <cell r="D714">
            <v>0</v>
          </cell>
          <cell r="G714">
            <v>0</v>
          </cell>
        </row>
        <row r="715">
          <cell r="B715" t="str">
            <v>Frgt</v>
          </cell>
          <cell r="D715">
            <v>0</v>
          </cell>
          <cell r="G715">
            <v>0</v>
          </cell>
        </row>
        <row r="716">
          <cell r="B716" t="str">
            <v>Frgt</v>
          </cell>
          <cell r="D716">
            <v>0</v>
          </cell>
          <cell r="G716">
            <v>0</v>
          </cell>
        </row>
        <row r="718">
          <cell r="G718" t="str">
            <v xml:space="preserve"> </v>
          </cell>
          <cell r="H718" t="str">
            <v xml:space="preserve"> </v>
          </cell>
        </row>
        <row r="720">
          <cell r="D720" t="str">
            <v xml:space="preserve"> </v>
          </cell>
          <cell r="G720" t="str">
            <v xml:space="preserve"> </v>
          </cell>
          <cell r="H720">
            <v>400000</v>
          </cell>
        </row>
        <row r="721">
          <cell r="B721" t="str">
            <v>HUCMob</v>
          </cell>
          <cell r="D721">
            <v>1</v>
          </cell>
          <cell r="G721">
            <v>400000</v>
          </cell>
        </row>
        <row r="722">
          <cell r="B722" t="str">
            <v>HUCMob</v>
          </cell>
          <cell r="D722">
            <v>0</v>
          </cell>
          <cell r="G722">
            <v>0</v>
          </cell>
        </row>
        <row r="723">
          <cell r="B723" t="str">
            <v>HUCMob</v>
          </cell>
          <cell r="D723">
            <v>0</v>
          </cell>
          <cell r="G723">
            <v>0</v>
          </cell>
        </row>
        <row r="724">
          <cell r="B724" t="str">
            <v>HUCMob</v>
          </cell>
          <cell r="D724">
            <v>0</v>
          </cell>
          <cell r="G724">
            <v>0</v>
          </cell>
        </row>
        <row r="725">
          <cell r="B725" t="str">
            <v>HUCMob</v>
          </cell>
          <cell r="D725">
            <v>0</v>
          </cell>
          <cell r="G725">
            <v>0</v>
          </cell>
        </row>
        <row r="726">
          <cell r="B726" t="str">
            <v>HUCMob</v>
          </cell>
          <cell r="D726">
            <v>0</v>
          </cell>
          <cell r="G726">
            <v>0</v>
          </cell>
        </row>
        <row r="727">
          <cell r="B727" t="str">
            <v>HUCMob</v>
          </cell>
          <cell r="D727">
            <v>0</v>
          </cell>
          <cell r="G727">
            <v>0</v>
          </cell>
        </row>
        <row r="729">
          <cell r="D729" t="str">
            <v xml:space="preserve"> </v>
          </cell>
          <cell r="G729" t="str">
            <v xml:space="preserve"> </v>
          </cell>
          <cell r="H729">
            <v>661500</v>
          </cell>
        </row>
        <row r="730">
          <cell r="B730" t="str">
            <v>HUC-T&amp;M</v>
          </cell>
          <cell r="D730">
            <v>18900</v>
          </cell>
          <cell r="G730">
            <v>661500</v>
          </cell>
        </row>
        <row r="731">
          <cell r="B731" t="str">
            <v>HUC-T&amp;M</v>
          </cell>
          <cell r="D731">
            <v>2100</v>
          </cell>
          <cell r="G731">
            <v>0</v>
          </cell>
        </row>
        <row r="732">
          <cell r="B732" t="str">
            <v>HUC-T&amp;M</v>
          </cell>
          <cell r="D732">
            <v>4725</v>
          </cell>
          <cell r="G732">
            <v>0</v>
          </cell>
        </row>
        <row r="733">
          <cell r="B733" t="str">
            <v>HUC-T&amp;M</v>
          </cell>
          <cell r="D733">
            <v>5145</v>
          </cell>
          <cell r="G733">
            <v>0</v>
          </cell>
        </row>
        <row r="734">
          <cell r="B734" t="str">
            <v>HUC-T&amp;M</v>
          </cell>
          <cell r="D734">
            <v>0</v>
          </cell>
          <cell r="G734">
            <v>0</v>
          </cell>
        </row>
        <row r="736">
          <cell r="G736" t="str">
            <v xml:space="preserve"> </v>
          </cell>
          <cell r="H736">
            <v>170100</v>
          </cell>
        </row>
        <row r="737">
          <cell r="B737" t="str">
            <v>HUC-T&amp;M</v>
          </cell>
          <cell r="D737">
            <v>1080</v>
          </cell>
          <cell r="G737">
            <v>37800</v>
          </cell>
        </row>
        <row r="738">
          <cell r="B738" t="str">
            <v>HUC-T&amp;M</v>
          </cell>
          <cell r="D738">
            <v>2160</v>
          </cell>
          <cell r="G738">
            <v>75600</v>
          </cell>
        </row>
        <row r="739">
          <cell r="B739" t="str">
            <v>HUC-T&amp;M</v>
          </cell>
          <cell r="D739">
            <v>420</v>
          </cell>
          <cell r="G739">
            <v>14700</v>
          </cell>
        </row>
        <row r="740">
          <cell r="B740" t="str">
            <v>HUC-T&amp;M</v>
          </cell>
          <cell r="D740">
            <v>0</v>
          </cell>
          <cell r="G740">
            <v>0</v>
          </cell>
        </row>
        <row r="741">
          <cell r="B741" t="str">
            <v>HUC-T&amp;M</v>
          </cell>
          <cell r="D741">
            <v>0</v>
          </cell>
          <cell r="G741">
            <v>0</v>
          </cell>
        </row>
        <row r="742">
          <cell r="B742" t="str">
            <v>HUC-T&amp;M</v>
          </cell>
          <cell r="D742">
            <v>0</v>
          </cell>
          <cell r="G742">
            <v>0</v>
          </cell>
        </row>
        <row r="743">
          <cell r="B743" t="str">
            <v>HUC-T&amp;M</v>
          </cell>
          <cell r="D743">
            <v>840</v>
          </cell>
          <cell r="G743">
            <v>42000</v>
          </cell>
        </row>
        <row r="744">
          <cell r="B744" t="str">
            <v>HUC-T&amp;M</v>
          </cell>
          <cell r="D744">
            <v>500</v>
          </cell>
          <cell r="G744">
            <v>0</v>
          </cell>
        </row>
        <row r="745">
          <cell r="B745" t="str">
            <v>HUC-T&amp;M</v>
          </cell>
          <cell r="D745">
            <v>1125</v>
          </cell>
          <cell r="G745">
            <v>0</v>
          </cell>
        </row>
        <row r="746">
          <cell r="B746" t="str">
            <v>HUC-T&amp;M</v>
          </cell>
          <cell r="D746">
            <v>1225</v>
          </cell>
          <cell r="G746">
            <v>0</v>
          </cell>
        </row>
        <row r="747">
          <cell r="B747" t="str">
            <v>HUC-T&amp;M</v>
          </cell>
          <cell r="D747">
            <v>0</v>
          </cell>
          <cell r="G747">
            <v>0</v>
          </cell>
        </row>
        <row r="749">
          <cell r="D749" t="str">
            <v xml:space="preserve"> </v>
          </cell>
          <cell r="G749" t="str">
            <v xml:space="preserve"> </v>
          </cell>
          <cell r="H749">
            <v>2500000</v>
          </cell>
        </row>
        <row r="750">
          <cell r="B750" t="str">
            <v>DBMob</v>
          </cell>
          <cell r="D750">
            <v>1</v>
          </cell>
          <cell r="G750">
            <v>2500000</v>
          </cell>
        </row>
        <row r="752">
          <cell r="D752" t="str">
            <v xml:space="preserve"> </v>
          </cell>
          <cell r="G752" t="str">
            <v xml:space="preserve"> </v>
          </cell>
          <cell r="H752">
            <v>4525000</v>
          </cell>
        </row>
        <row r="753">
          <cell r="B753" t="str">
            <v>DBarg</v>
          </cell>
          <cell r="D753">
            <v>0.5</v>
          </cell>
          <cell r="G753">
            <v>150000</v>
          </cell>
        </row>
        <row r="754">
          <cell r="B754" t="str">
            <v>DBarg</v>
          </cell>
          <cell r="D754">
            <v>1</v>
          </cell>
          <cell r="G754">
            <v>300000</v>
          </cell>
        </row>
        <row r="755">
          <cell r="B755" t="str">
            <v>DBarg</v>
          </cell>
          <cell r="D755">
            <v>5</v>
          </cell>
          <cell r="G755">
            <v>1500000</v>
          </cell>
        </row>
        <row r="756">
          <cell r="D756">
            <v>1</v>
          </cell>
          <cell r="G756">
            <v>175000</v>
          </cell>
        </row>
        <row r="757">
          <cell r="B757" t="str">
            <v>DBarg</v>
          </cell>
          <cell r="D757">
            <v>4</v>
          </cell>
          <cell r="G757">
            <v>1200000</v>
          </cell>
        </row>
        <row r="758">
          <cell r="B758" t="str">
            <v>DBarg</v>
          </cell>
          <cell r="D758">
            <v>4</v>
          </cell>
          <cell r="G758">
            <v>1200000</v>
          </cell>
        </row>
        <row r="759">
          <cell r="B759" t="str">
            <v>DBarg</v>
          </cell>
          <cell r="D759">
            <v>0</v>
          </cell>
          <cell r="G759">
            <v>0</v>
          </cell>
        </row>
        <row r="760">
          <cell r="B760" t="str">
            <v>DBarg</v>
          </cell>
          <cell r="D760">
            <v>0</v>
          </cell>
          <cell r="G760">
            <v>0</v>
          </cell>
        </row>
        <row r="762">
          <cell r="D762" t="str">
            <v xml:space="preserve"> </v>
          </cell>
          <cell r="G762" t="str">
            <v xml:space="preserve"> </v>
          </cell>
          <cell r="H762">
            <v>350000</v>
          </cell>
        </row>
        <row r="763">
          <cell r="B763" t="str">
            <v>QBMob</v>
          </cell>
          <cell r="D763">
            <v>1</v>
          </cell>
          <cell r="G763">
            <v>350000</v>
          </cell>
        </row>
        <row r="765">
          <cell r="D765" t="str">
            <v xml:space="preserve"> </v>
          </cell>
          <cell r="G765" t="str">
            <v xml:space="preserve"> </v>
          </cell>
          <cell r="H765">
            <v>900000</v>
          </cell>
        </row>
        <row r="766">
          <cell r="B766" t="str">
            <v>QBarg</v>
          </cell>
          <cell r="D766">
            <v>30</v>
          </cell>
          <cell r="G766">
            <v>900000</v>
          </cell>
        </row>
        <row r="768">
          <cell r="D768" t="str">
            <v xml:space="preserve"> </v>
          </cell>
          <cell r="G768" t="str">
            <v xml:space="preserve"> </v>
          </cell>
          <cell r="H768">
            <v>0</v>
          </cell>
        </row>
        <row r="769">
          <cell r="B769" t="str">
            <v>MarSup</v>
          </cell>
          <cell r="D769">
            <v>0</v>
          </cell>
          <cell r="G769">
            <v>0</v>
          </cell>
        </row>
        <row r="771">
          <cell r="D771" t="str">
            <v xml:space="preserve"> </v>
          </cell>
          <cell r="G771" t="str">
            <v xml:space="preserve"> </v>
          </cell>
          <cell r="H771">
            <v>240000</v>
          </cell>
        </row>
        <row r="772">
          <cell r="B772" t="str">
            <v>MarSup</v>
          </cell>
          <cell r="D772">
            <v>30</v>
          </cell>
          <cell r="G772">
            <v>180000</v>
          </cell>
        </row>
        <row r="773">
          <cell r="D773">
            <v>30</v>
          </cell>
          <cell r="G773">
            <v>60000</v>
          </cell>
        </row>
        <row r="775">
          <cell r="D775" t="str">
            <v xml:space="preserve"> </v>
          </cell>
          <cell r="G775" t="str">
            <v xml:space="preserve"> </v>
          </cell>
          <cell r="H775">
            <v>132000</v>
          </cell>
        </row>
        <row r="776">
          <cell r="B776" t="str">
            <v>Misc</v>
          </cell>
          <cell r="D776">
            <v>15</v>
          </cell>
          <cell r="G776">
            <v>132000</v>
          </cell>
        </row>
        <row r="778">
          <cell r="D778" t="str">
            <v xml:space="preserve"> </v>
          </cell>
          <cell r="G778" t="str">
            <v xml:space="preserve"> </v>
          </cell>
          <cell r="H778">
            <v>145068</v>
          </cell>
        </row>
        <row r="779">
          <cell r="B779" t="str">
            <v>Cater</v>
          </cell>
          <cell r="D779">
            <v>900</v>
          </cell>
          <cell r="G779">
            <v>50400</v>
          </cell>
        </row>
        <row r="780">
          <cell r="B780" t="str">
            <v>Cater</v>
          </cell>
          <cell r="D780">
            <v>540</v>
          </cell>
          <cell r="G780">
            <v>30240</v>
          </cell>
        </row>
        <row r="781">
          <cell r="B781" t="str">
            <v>Cater</v>
          </cell>
          <cell r="D781">
            <v>225</v>
          </cell>
          <cell r="G781">
            <v>12600</v>
          </cell>
        </row>
        <row r="782">
          <cell r="B782" t="str">
            <v>Cater</v>
          </cell>
          <cell r="D782">
            <v>600</v>
          </cell>
          <cell r="G782">
            <v>33600</v>
          </cell>
        </row>
        <row r="783">
          <cell r="B783" t="str">
            <v>Cater</v>
          </cell>
          <cell r="D783">
            <v>90</v>
          </cell>
          <cell r="G783">
            <v>5040</v>
          </cell>
        </row>
        <row r="784">
          <cell r="B784" t="str">
            <v>Cater</v>
          </cell>
          <cell r="D784">
            <v>0.1</v>
          </cell>
          <cell r="G784">
            <v>13188</v>
          </cell>
        </row>
        <row r="786">
          <cell r="D786" t="str">
            <v xml:space="preserve"> </v>
          </cell>
          <cell r="G786" t="str">
            <v xml:space="preserve"> </v>
          </cell>
          <cell r="H786">
            <v>45000</v>
          </cell>
        </row>
        <row r="787">
          <cell r="B787" t="str">
            <v>Misc</v>
          </cell>
          <cell r="D787">
            <v>30</v>
          </cell>
          <cell r="G787">
            <v>15000</v>
          </cell>
        </row>
        <row r="788">
          <cell r="B788" t="str">
            <v>Misc</v>
          </cell>
          <cell r="D788">
            <v>30</v>
          </cell>
          <cell r="G788">
            <v>15000</v>
          </cell>
        </row>
        <row r="789">
          <cell r="B789" t="str">
            <v>Misc</v>
          </cell>
          <cell r="D789">
            <v>30</v>
          </cell>
          <cell r="G789">
            <v>15000</v>
          </cell>
        </row>
        <row r="791">
          <cell r="G791" t="str">
            <v xml:space="preserve"> </v>
          </cell>
          <cell r="H791" t="str">
            <v xml:space="preserve"> </v>
          </cell>
        </row>
        <row r="793">
          <cell r="H793">
            <v>294000</v>
          </cell>
        </row>
        <row r="794">
          <cell r="D794">
            <v>8400</v>
          </cell>
          <cell r="G794">
            <v>294000</v>
          </cell>
        </row>
        <row r="795">
          <cell r="B795" t="str">
            <v>HUC-T&amp;M</v>
          </cell>
          <cell r="D795">
            <v>0</v>
          </cell>
          <cell r="G795">
            <v>0</v>
          </cell>
        </row>
        <row r="796">
          <cell r="B796" t="str">
            <v>HUC-T&amp;M</v>
          </cell>
          <cell r="D796">
            <v>0</v>
          </cell>
          <cell r="G796">
            <v>0</v>
          </cell>
        </row>
        <row r="797">
          <cell r="B797" t="str">
            <v>HUC-T&amp;M</v>
          </cell>
          <cell r="D797">
            <v>0</v>
          </cell>
          <cell r="G797">
            <v>0</v>
          </cell>
        </row>
        <row r="798">
          <cell r="B798" t="str">
            <v>HUC-T&amp;M</v>
          </cell>
          <cell r="D798">
            <v>0</v>
          </cell>
          <cell r="G798">
            <v>0</v>
          </cell>
        </row>
        <row r="799">
          <cell r="B799" t="str">
            <v>HUC-T&amp;M</v>
          </cell>
          <cell r="D799">
            <v>0</v>
          </cell>
          <cell r="G799">
            <v>0</v>
          </cell>
        </row>
        <row r="800">
          <cell r="B800" t="str">
            <v>HUC-T&amp;M</v>
          </cell>
          <cell r="D800">
            <v>0</v>
          </cell>
          <cell r="G800">
            <v>0</v>
          </cell>
        </row>
        <row r="801">
          <cell r="B801" t="str">
            <v>HUC-T&amp;M</v>
          </cell>
          <cell r="D801">
            <v>0</v>
          </cell>
          <cell r="G801">
            <v>0</v>
          </cell>
        </row>
        <row r="802">
          <cell r="B802" t="str">
            <v>HUC-T&amp;M</v>
          </cell>
          <cell r="D802">
            <v>0</v>
          </cell>
          <cell r="G802">
            <v>0</v>
          </cell>
        </row>
        <row r="803">
          <cell r="B803" t="str">
            <v>HUC-T&amp;M</v>
          </cell>
          <cell r="D803">
            <v>0</v>
          </cell>
          <cell r="G803">
            <v>0</v>
          </cell>
        </row>
        <row r="804">
          <cell r="B804" t="str">
            <v>HUC-T&amp;M</v>
          </cell>
          <cell r="D804">
            <v>0</v>
          </cell>
          <cell r="G804">
            <v>0</v>
          </cell>
        </row>
        <row r="805">
          <cell r="B805" t="str">
            <v>HUC-T&amp;M</v>
          </cell>
          <cell r="D805">
            <v>0</v>
          </cell>
          <cell r="G805">
            <v>0</v>
          </cell>
        </row>
        <row r="806">
          <cell r="B806" t="str">
            <v>HUC-T&amp;M</v>
          </cell>
          <cell r="D806">
            <v>0</v>
          </cell>
          <cell r="G806">
            <v>0</v>
          </cell>
        </row>
        <row r="807">
          <cell r="B807" t="str">
            <v>HUC-T&amp;M</v>
          </cell>
          <cell r="D807">
            <v>0</v>
          </cell>
          <cell r="G807">
            <v>0</v>
          </cell>
        </row>
        <row r="808">
          <cell r="B808" t="str">
            <v>HUC-T&amp;M</v>
          </cell>
          <cell r="D808">
            <v>0</v>
          </cell>
          <cell r="G808">
            <v>0</v>
          </cell>
        </row>
        <row r="809">
          <cell r="B809" t="str">
            <v>HUC-T&amp;M</v>
          </cell>
          <cell r="D809">
            <v>0</v>
          </cell>
          <cell r="G809">
            <v>0</v>
          </cell>
        </row>
        <row r="811">
          <cell r="G811" t="str">
            <v xml:space="preserve"> </v>
          </cell>
          <cell r="H811" t="str">
            <v xml:space="preserve"> </v>
          </cell>
        </row>
        <row r="813">
          <cell r="H813">
            <v>478400</v>
          </cell>
        </row>
        <row r="814">
          <cell r="B814" t="str">
            <v>StrtUp</v>
          </cell>
          <cell r="D814">
            <v>0</v>
          </cell>
          <cell r="G814">
            <v>0</v>
          </cell>
        </row>
        <row r="815">
          <cell r="B815" t="str">
            <v>StrtUp</v>
          </cell>
          <cell r="D815">
            <v>0</v>
          </cell>
          <cell r="G815">
            <v>0</v>
          </cell>
        </row>
        <row r="816">
          <cell r="B816" t="str">
            <v>StrtUp</v>
          </cell>
          <cell r="D816">
            <v>0</v>
          </cell>
          <cell r="G816">
            <v>0</v>
          </cell>
        </row>
        <row r="817">
          <cell r="B817" t="str">
            <v>StrtUp</v>
          </cell>
          <cell r="D817">
            <v>28</v>
          </cell>
          <cell r="G817">
            <v>28000</v>
          </cell>
        </row>
        <row r="818">
          <cell r="B818" t="str">
            <v>StrtUp</v>
          </cell>
          <cell r="D818">
            <v>28</v>
          </cell>
          <cell r="G818">
            <v>16800</v>
          </cell>
        </row>
        <row r="819">
          <cell r="B819" t="str">
            <v>StrtUp</v>
          </cell>
          <cell r="D819">
            <v>28</v>
          </cell>
          <cell r="G819">
            <v>16800</v>
          </cell>
        </row>
        <row r="820">
          <cell r="B820" t="str">
            <v>StrtUp</v>
          </cell>
          <cell r="D820">
            <v>28</v>
          </cell>
          <cell r="G820">
            <v>16800</v>
          </cell>
        </row>
        <row r="821">
          <cell r="B821" t="str">
            <v>StrtUp</v>
          </cell>
          <cell r="D821">
            <v>0</v>
          </cell>
          <cell r="G821">
            <v>0</v>
          </cell>
        </row>
        <row r="822">
          <cell r="B822" t="str">
            <v>StrtUp</v>
          </cell>
          <cell r="D822">
            <v>1</v>
          </cell>
          <cell r="G822">
            <v>400000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Revisions and Holds"/>
      <sheetName val="Legend &amp; Notes"/>
      <sheetName val="Line List H03"/>
      <sheetName val="Line List L02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ump 1"/>
      <sheetName val="Pump 2"/>
      <sheetName val="Pump 3"/>
      <sheetName val="Pump 4"/>
      <sheetName val="Pump 5"/>
      <sheetName val="Pump 6"/>
      <sheetName val=" Motor 1"/>
      <sheetName val="Motor 2"/>
      <sheetName val="Noise"/>
      <sheetName val="WeightCG"/>
      <sheetName val="Data 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3">
          <cell r="D3" t="str">
            <v>EJ-0135</v>
          </cell>
          <cell r="G3" t="str">
            <v>Malampaya Platform Development</v>
          </cell>
        </row>
        <row r="5">
          <cell r="D5" t="str">
            <v>01C13P-701A/B</v>
          </cell>
        </row>
        <row r="7">
          <cell r="D7" t="str">
            <v>01-MDS-0701</v>
          </cell>
        </row>
        <row r="9">
          <cell r="D9" t="str">
            <v>01-MSP-0007C</v>
          </cell>
          <cell r="G9" t="str">
            <v>Export Condensate Loading Pump</v>
          </cell>
        </row>
        <row r="11">
          <cell r="D11" t="str">
            <v>3011-WR02-PM007C</v>
          </cell>
          <cell r="G11" t="str">
            <v>API-610 Vertical Turbine Pump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nalysis"/>
      <sheetName val="Sensitivity"/>
      <sheetName val="Probability"/>
      <sheetName val="Tornado Results"/>
      <sheetName val="SUMMARY"/>
      <sheetName val="Building Blocks"/>
      <sheetName val="Nakika SSTB"/>
      <sheetName val="Subsea Tree"/>
      <sheetName val="Waterflood"/>
      <sheetName val="Gas Lift"/>
      <sheetName val="Topsides"/>
      <sheetName val="Hull &amp; Mooring"/>
      <sheetName val="CASE 1 Calendar"/>
      <sheetName val="Case 1 DATA"/>
      <sheetName val="Timeline"/>
      <sheetName val="Codes,..."/>
      <sheetName val="Basi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>
        <row r="3">
          <cell r="A3" t="str">
            <v>30,000 BOPD</v>
          </cell>
        </row>
        <row r="4">
          <cell r="A4" t="str">
            <v>45,000 BOPD</v>
          </cell>
        </row>
        <row r="5">
          <cell r="A5" t="str">
            <v>60,000 BOPD</v>
          </cell>
        </row>
        <row r="6">
          <cell r="A6" t="str">
            <v>75,000 BOPD</v>
          </cell>
        </row>
        <row r="8">
          <cell r="A8" t="str">
            <v>One 8.625" OD x 15" OD</v>
          </cell>
        </row>
        <row r="9">
          <cell r="A9" t="str">
            <v>Two 6.625" OD x 10.75" OD (LH)</v>
          </cell>
        </row>
        <row r="10">
          <cell r="A10" t="str">
            <v>Two 6.625" OD x 12.75" OD (SSTB)</v>
          </cell>
        </row>
        <row r="11">
          <cell r="A11" t="str">
            <v>Two 7.625" OD x 11.75" OD (LH)</v>
          </cell>
        </row>
        <row r="12">
          <cell r="A12" t="str">
            <v>Two 7.625" OD x 14" OD (SSTB)</v>
          </cell>
        </row>
        <row r="13">
          <cell r="A13" t="str">
            <v>Two 8.625" OD x 12.75" OD (LH)</v>
          </cell>
        </row>
        <row r="14">
          <cell r="A14" t="str">
            <v>Two 8.625" OD x 15" OD (SSTB)</v>
          </cell>
        </row>
        <row r="19">
          <cell r="A19" t="str">
            <v>High Production Local Host</v>
          </cell>
        </row>
        <row r="20">
          <cell r="A20" t="str">
            <v>High SSTB</v>
          </cell>
        </row>
        <row r="21">
          <cell r="A21" t="str">
            <v>Low CAPEX SSTB</v>
          </cell>
        </row>
        <row r="22">
          <cell r="A22" t="str">
            <v>Low Production Local Host</v>
          </cell>
        </row>
        <row r="23">
          <cell r="A23" t="str">
            <v>Low SSTB</v>
          </cell>
        </row>
        <row r="24">
          <cell r="A24" t="str">
            <v>Medium Production Local Host</v>
          </cell>
        </row>
        <row r="25">
          <cell r="A25" t="str">
            <v>Medium SSTB</v>
          </cell>
        </row>
        <row r="27">
          <cell r="A27" t="str">
            <v>1</v>
          </cell>
        </row>
        <row r="28">
          <cell r="A28" t="str">
            <v>2</v>
          </cell>
        </row>
        <row r="29">
          <cell r="A29" t="str">
            <v>3</v>
          </cell>
        </row>
        <row r="30">
          <cell r="A30" t="str">
            <v>4</v>
          </cell>
        </row>
        <row r="32">
          <cell r="A32" t="str">
            <v>0</v>
          </cell>
        </row>
        <row r="33">
          <cell r="A33" t="str">
            <v>1</v>
          </cell>
        </row>
        <row r="34">
          <cell r="A34" t="str">
            <v>2</v>
          </cell>
        </row>
        <row r="44">
          <cell r="A44" t="str">
            <v>High Production Local Host</v>
          </cell>
        </row>
        <row r="45">
          <cell r="A45" t="str">
            <v>High SSTB</v>
          </cell>
        </row>
        <row r="46">
          <cell r="A46" t="str">
            <v>Low Production Local Host</v>
          </cell>
        </row>
        <row r="47">
          <cell r="A47" t="str">
            <v>Low SSTB</v>
          </cell>
        </row>
        <row r="48">
          <cell r="A48" t="str">
            <v>Medium Production Local Host</v>
          </cell>
        </row>
        <row r="49">
          <cell r="A49" t="str">
            <v>Medium SSTB</v>
          </cell>
        </row>
        <row r="51">
          <cell r="A51" t="str">
            <v>NO</v>
          </cell>
        </row>
        <row r="52">
          <cell r="A52" t="str">
            <v>One-Well 30,000 BWPD</v>
          </cell>
        </row>
        <row r="53">
          <cell r="A53" t="str">
            <v>Two-Well 30,000 BWPD</v>
          </cell>
        </row>
        <row r="54">
          <cell r="A54" t="str">
            <v>45,000 BWPD</v>
          </cell>
        </row>
        <row r="57">
          <cell r="A57" t="str">
            <v>N/A</v>
          </cell>
        </row>
        <row r="58">
          <cell r="A58" t="str">
            <v>45,000 BOPD</v>
          </cell>
        </row>
        <row r="59">
          <cell r="A59" t="str">
            <v>60,000 BOPD</v>
          </cell>
        </row>
        <row r="60">
          <cell r="A60" t="str">
            <v>75,000 BOPD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Calc. Summary"/>
      <sheetName val="NPSHA Pumps"/>
      <sheetName val="Tank Vol Calc"/>
      <sheetName val="System Schematic"/>
      <sheetName val="Pumps Discharge"/>
      <sheetName val="Discharge Summary"/>
      <sheetName val="Discharge Calc"/>
      <sheetName val="Attachment A"/>
      <sheetName val="Req Dis Press Pump DO NOT PRINT"/>
      <sheetName val="RP 14E Table"/>
      <sheetName val="Equivalent Lengths DO NOT PRINT"/>
      <sheetName val="I O Matrix DO NOT PRINT"/>
      <sheetName val="Notes DO NOT PRINT"/>
      <sheetName val="Sketch Sheet DO NOT PRINT"/>
      <sheetName val="Solve for P1 DO NOT PRINT"/>
      <sheetName val="Solve for P2 DO NOT PRINT"/>
      <sheetName val="Schematic PFD DO NOT PRINT"/>
      <sheetName val="Pumps Suction DO NOT PRINT"/>
      <sheetName val="GUI PI DO NOT PRINT"/>
      <sheetName val="DO NOT PRINT CVCurveCalc"/>
      <sheetName val="DO NOT PRINT PumpCurveCalc"/>
      <sheetName val="PipeTables"/>
      <sheetName val="LineSubs"/>
      <sheetName val="Alt Case Summary"/>
      <sheetName val="Suction Details"/>
      <sheetName val="NPSHA Summary"/>
      <sheetName val="Suction Calc"/>
      <sheetName val="Discharge Details"/>
      <sheetName val="Framo Curve"/>
      <sheetName val="DO NOT PRINT Discharge LEQ"/>
      <sheetName val="DO NOT PRINT Metocean"/>
      <sheetName val="DO NOT PRINT Goby"/>
      <sheetName val="DO NOT PRINT Curve Plot"/>
      <sheetName val="DO NOT PRINT Notes"/>
      <sheetName val="Sketch Shee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>
        <row r="34">
          <cell r="B34">
            <v>1</v>
          </cell>
          <cell r="C34">
            <v>1.5</v>
          </cell>
          <cell r="D34">
            <v>2</v>
          </cell>
          <cell r="E34">
            <v>3</v>
          </cell>
          <cell r="F34">
            <v>4</v>
          </cell>
          <cell r="G34">
            <v>6</v>
          </cell>
          <cell r="H34">
            <v>8</v>
          </cell>
          <cell r="I34">
            <v>10</v>
          </cell>
          <cell r="J34">
            <v>12</v>
          </cell>
          <cell r="K34">
            <v>14</v>
          </cell>
          <cell r="L34">
            <v>16</v>
          </cell>
          <cell r="M34">
            <v>18</v>
          </cell>
          <cell r="N34">
            <v>20</v>
          </cell>
          <cell r="O34">
            <v>24</v>
          </cell>
        </row>
        <row r="35">
          <cell r="A35">
            <v>1</v>
          </cell>
        </row>
        <row r="36">
          <cell r="A36">
            <v>1.5</v>
          </cell>
          <cell r="B36">
            <v>6.0483948814091537</v>
          </cell>
        </row>
        <row r="37">
          <cell r="A37">
            <v>2</v>
          </cell>
          <cell r="B37">
            <v>42.945764194447243</v>
          </cell>
          <cell r="C37">
            <v>4.6013318779764907</v>
          </cell>
        </row>
        <row r="38">
          <cell r="A38">
            <v>3</v>
          </cell>
          <cell r="C38">
            <v>88.47820959033055</v>
          </cell>
          <cell r="D38">
            <v>16.739120733305775</v>
          </cell>
        </row>
        <row r="39">
          <cell r="A39">
            <v>4</v>
          </cell>
          <cell r="D39">
            <v>89.569286945358471</v>
          </cell>
          <cell r="E39">
            <v>3.088596101564085</v>
          </cell>
        </row>
        <row r="40">
          <cell r="A40">
            <v>6</v>
          </cell>
          <cell r="E40">
            <v>145.46597428847372</v>
          </cell>
          <cell r="F40">
            <v>32.847155484494067</v>
          </cell>
        </row>
        <row r="41">
          <cell r="A41">
            <v>8</v>
          </cell>
          <cell r="F41">
            <v>203.85434755598425</v>
          </cell>
          <cell r="G41">
            <v>6.177404471393463</v>
          </cell>
        </row>
        <row r="42">
          <cell r="A42">
            <v>10</v>
          </cell>
          <cell r="G42">
            <v>116.86099253375471</v>
          </cell>
          <cell r="H42">
            <v>15.581465671167294</v>
          </cell>
        </row>
        <row r="43">
          <cell r="A43">
            <v>12</v>
          </cell>
          <cell r="H43">
            <v>74.44582010509248</v>
          </cell>
          <cell r="I43">
            <v>9.30572751313656</v>
          </cell>
        </row>
        <row r="44">
          <cell r="A44">
            <v>14</v>
          </cell>
          <cell r="I44">
            <v>12.022208121590644</v>
          </cell>
          <cell r="J44">
            <v>1.0018506767992204</v>
          </cell>
        </row>
        <row r="45">
          <cell r="A45">
            <v>16</v>
          </cell>
          <cell r="J45">
            <v>9.164812834801495</v>
          </cell>
          <cell r="K45">
            <v>3.4368048130505606</v>
          </cell>
        </row>
        <row r="46">
          <cell r="A46">
            <v>18</v>
          </cell>
          <cell r="K46">
            <v>20.620129979575903</v>
          </cell>
          <cell r="L46">
            <v>2.5775162474469879</v>
          </cell>
        </row>
        <row r="47">
          <cell r="A47">
            <v>20</v>
          </cell>
          <cell r="L47">
            <v>18.626540907956624</v>
          </cell>
          <cell r="M47">
            <v>2.8656216781471726</v>
          </cell>
        </row>
        <row r="48">
          <cell r="A48">
            <v>24</v>
          </cell>
          <cell r="M48">
            <v>29.250556672986853</v>
          </cell>
          <cell r="N48">
            <v>12.044346865347528</v>
          </cell>
        </row>
        <row r="49">
          <cell r="A49">
            <v>30</v>
          </cell>
          <cell r="O49">
            <v>49.100153703518728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ke_Exp"/>
      <sheetName val="Mike_base"/>
      <sheetName val="2003 P10 Prod"/>
      <sheetName val="2003 P50 Prod"/>
      <sheetName val="2003 P50 Prod (2)"/>
      <sheetName val="2003 P90 Prod"/>
      <sheetName val="CAPEX P50"/>
      <sheetName val="CAPEX Cht"/>
      <sheetName val="P50 BOPD Cht"/>
      <sheetName val="P50 Cum Prod Cht"/>
      <sheetName val="Water_2years"/>
      <sheetName val="P10-P50-P90_2years"/>
      <sheetName val="P10-P50-P90_BOPD Cht"/>
      <sheetName val="P10-P50-P90_Cum Cht"/>
      <sheetName val="Old vs New FC "/>
      <sheetName val="GOR FC Cht"/>
      <sheetName val="2003 P50 Gas FCST"/>
      <sheetName val="SN Prod History"/>
      <sheetName val="Simulation data"/>
      <sheetName val="Smog_report"/>
      <sheetName val="Cashflow"/>
      <sheetName val="FDM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41">
          <cell r="A41">
            <v>35673</v>
          </cell>
          <cell r="K41">
            <v>2532.4516129032259</v>
          </cell>
        </row>
        <row r="42">
          <cell r="A42">
            <v>35703</v>
          </cell>
          <cell r="K42">
            <v>4009.3</v>
          </cell>
        </row>
        <row r="43">
          <cell r="A43">
            <v>35734</v>
          </cell>
          <cell r="K43">
            <v>3957.7419354838707</v>
          </cell>
        </row>
        <row r="44">
          <cell r="A44">
            <v>35764</v>
          </cell>
          <cell r="K44">
            <v>3647.3333333333335</v>
          </cell>
        </row>
        <row r="45">
          <cell r="A45">
            <v>35795</v>
          </cell>
          <cell r="K45">
            <v>3430.4193548387098</v>
          </cell>
        </row>
        <row r="46">
          <cell r="A46">
            <v>35826</v>
          </cell>
          <cell r="K46">
            <v>4454.2258064516127</v>
          </cell>
        </row>
        <row r="47">
          <cell r="A47">
            <v>35854</v>
          </cell>
          <cell r="K47">
            <v>10605.071428571429</v>
          </cell>
        </row>
        <row r="48">
          <cell r="A48">
            <v>35885</v>
          </cell>
          <cell r="K48">
            <v>13825.709677419356</v>
          </cell>
        </row>
        <row r="49">
          <cell r="A49">
            <v>35915</v>
          </cell>
          <cell r="K49">
            <v>13440.033333333333</v>
          </cell>
        </row>
        <row r="50">
          <cell r="A50">
            <v>35946</v>
          </cell>
          <cell r="K50">
            <v>11245.677419354839</v>
          </cell>
        </row>
        <row r="51">
          <cell r="A51">
            <v>35976</v>
          </cell>
          <cell r="K51">
            <v>12670.666666666668</v>
          </cell>
        </row>
        <row r="52">
          <cell r="A52">
            <v>36007</v>
          </cell>
          <cell r="K52">
            <v>12213.516129032258</v>
          </cell>
        </row>
        <row r="53">
          <cell r="A53">
            <v>36038</v>
          </cell>
          <cell r="K53">
            <v>12115.064516129032</v>
          </cell>
        </row>
        <row r="54">
          <cell r="A54">
            <v>36068</v>
          </cell>
          <cell r="K54">
            <v>16952.366666666665</v>
          </cell>
        </row>
        <row r="55">
          <cell r="A55">
            <v>36099</v>
          </cell>
          <cell r="K55">
            <v>23066.806451612902</v>
          </cell>
        </row>
        <row r="56">
          <cell r="A56">
            <v>36129</v>
          </cell>
          <cell r="K56">
            <v>21265.666666666668</v>
          </cell>
        </row>
        <row r="57">
          <cell r="A57">
            <v>36160</v>
          </cell>
          <cell r="K57">
            <v>24893.645161290322</v>
          </cell>
        </row>
        <row r="58">
          <cell r="A58">
            <v>36191</v>
          </cell>
          <cell r="K58">
            <v>24710.967741935485</v>
          </cell>
        </row>
        <row r="59">
          <cell r="A59">
            <v>36219</v>
          </cell>
          <cell r="K59">
            <v>28000.607142857138</v>
          </cell>
        </row>
        <row r="60">
          <cell r="A60">
            <v>36250</v>
          </cell>
          <cell r="K60">
            <v>26660.838709677413</v>
          </cell>
        </row>
        <row r="61">
          <cell r="A61">
            <v>36280</v>
          </cell>
          <cell r="K61">
            <v>26295.7</v>
          </cell>
        </row>
        <row r="62">
          <cell r="A62">
            <v>36311</v>
          </cell>
          <cell r="K62">
            <v>25154.580645161292</v>
          </cell>
        </row>
        <row r="63">
          <cell r="A63">
            <v>36341</v>
          </cell>
          <cell r="K63">
            <v>23867.73333333333</v>
          </cell>
        </row>
        <row r="64">
          <cell r="A64">
            <v>36372</v>
          </cell>
          <cell r="K64">
            <v>25372.741935483871</v>
          </cell>
        </row>
        <row r="65">
          <cell r="A65">
            <v>36403</v>
          </cell>
          <cell r="K65">
            <v>24888.354838709682</v>
          </cell>
        </row>
        <row r="66">
          <cell r="A66">
            <v>36433</v>
          </cell>
          <cell r="K66">
            <v>19862.166666666664</v>
          </cell>
        </row>
        <row r="67">
          <cell r="A67">
            <v>36464</v>
          </cell>
          <cell r="K67">
            <v>23516.032258064515</v>
          </cell>
        </row>
        <row r="68">
          <cell r="A68">
            <v>36494</v>
          </cell>
          <cell r="K68">
            <v>24582.466666666667</v>
          </cell>
        </row>
        <row r="69">
          <cell r="A69">
            <v>36525</v>
          </cell>
          <cell r="K69">
            <v>22788.967741935488</v>
          </cell>
        </row>
        <row r="70">
          <cell r="A70">
            <v>36556</v>
          </cell>
          <cell r="K70">
            <v>24108.83870967742</v>
          </cell>
        </row>
        <row r="71">
          <cell r="A71">
            <v>36585</v>
          </cell>
          <cell r="K71">
            <v>24222</v>
          </cell>
        </row>
        <row r="72">
          <cell r="A72">
            <v>36616</v>
          </cell>
          <cell r="K72">
            <v>27525.451612903224</v>
          </cell>
        </row>
        <row r="73">
          <cell r="A73">
            <v>36646</v>
          </cell>
          <cell r="K73">
            <v>26188.9</v>
          </cell>
        </row>
        <row r="74">
          <cell r="A74">
            <v>36677</v>
          </cell>
          <cell r="K74">
            <v>26733.870967741932</v>
          </cell>
        </row>
        <row r="75">
          <cell r="A75">
            <v>36707</v>
          </cell>
          <cell r="K75">
            <v>30280.1</v>
          </cell>
        </row>
        <row r="76">
          <cell r="A76">
            <v>36738</v>
          </cell>
          <cell r="K76">
            <v>30424.16129032258</v>
          </cell>
        </row>
        <row r="77">
          <cell r="A77">
            <v>36769</v>
          </cell>
          <cell r="K77">
            <v>28454.612903225807</v>
          </cell>
        </row>
        <row r="78">
          <cell r="A78">
            <v>36799</v>
          </cell>
          <cell r="K78">
            <v>26812.7</v>
          </cell>
        </row>
        <row r="79">
          <cell r="A79">
            <v>36830</v>
          </cell>
          <cell r="K79">
            <v>27637.838709677417</v>
          </cell>
        </row>
        <row r="80">
          <cell r="A80">
            <v>36860</v>
          </cell>
          <cell r="K80">
            <v>26942.366666666669</v>
          </cell>
        </row>
        <row r="81">
          <cell r="A81">
            <v>36891</v>
          </cell>
          <cell r="K81">
            <v>26693.096774193546</v>
          </cell>
        </row>
        <row r="82">
          <cell r="A82">
            <v>36922</v>
          </cell>
          <cell r="K82">
            <v>27586.806451612905</v>
          </cell>
        </row>
        <row r="83">
          <cell r="A83">
            <v>36950</v>
          </cell>
          <cell r="K83">
            <v>27091.28571428571</v>
          </cell>
        </row>
        <row r="84">
          <cell r="A84">
            <v>36981</v>
          </cell>
          <cell r="K84">
            <v>27591.806451612909</v>
          </cell>
        </row>
        <row r="85">
          <cell r="A85">
            <v>37011</v>
          </cell>
          <cell r="K85">
            <v>26899.033333333329</v>
          </cell>
        </row>
        <row r="86">
          <cell r="A86">
            <v>37042</v>
          </cell>
          <cell r="K86">
            <v>25401.967741935485</v>
          </cell>
        </row>
        <row r="87">
          <cell r="A87">
            <v>37072</v>
          </cell>
          <cell r="K87">
            <v>24530.466666666667</v>
          </cell>
        </row>
        <row r="88">
          <cell r="A88">
            <v>37103</v>
          </cell>
          <cell r="K88">
            <v>23580.806451612905</v>
          </cell>
        </row>
        <row r="89">
          <cell r="A89">
            <v>37134</v>
          </cell>
          <cell r="K89">
            <v>24290.032258064515</v>
          </cell>
        </row>
        <row r="90">
          <cell r="A90">
            <v>37164</v>
          </cell>
          <cell r="K90">
            <v>23156.6</v>
          </cell>
        </row>
        <row r="91">
          <cell r="A91">
            <v>37195</v>
          </cell>
          <cell r="K91">
            <v>21956.387096774197</v>
          </cell>
        </row>
        <row r="92">
          <cell r="A92">
            <v>37225</v>
          </cell>
          <cell r="K92">
            <v>22798.466666666667</v>
          </cell>
        </row>
        <row r="93">
          <cell r="A93">
            <v>37256</v>
          </cell>
          <cell r="K93">
            <v>21840.806451612902</v>
          </cell>
        </row>
        <row r="94">
          <cell r="A94">
            <v>37287</v>
          </cell>
          <cell r="K94">
            <v>20973.225806451606</v>
          </cell>
        </row>
        <row r="95">
          <cell r="A95">
            <v>37315</v>
          </cell>
          <cell r="K95">
            <v>17669.678571428572</v>
          </cell>
        </row>
        <row r="96">
          <cell r="A96">
            <v>37346</v>
          </cell>
          <cell r="K96">
            <v>16988.354838709678</v>
          </cell>
        </row>
        <row r="97">
          <cell r="A97">
            <v>37376</v>
          </cell>
          <cell r="K97">
            <v>20061</v>
          </cell>
        </row>
        <row r="98">
          <cell r="A98">
            <v>37407</v>
          </cell>
          <cell r="K98">
            <v>20797.492062434838</v>
          </cell>
        </row>
        <row r="99">
          <cell r="A99">
            <v>37437</v>
          </cell>
          <cell r="K99">
            <v>20416.514657045496</v>
          </cell>
        </row>
        <row r="100">
          <cell r="A100">
            <v>37468</v>
          </cell>
          <cell r="K100">
            <v>20049.352122330441</v>
          </cell>
        </row>
        <row r="101">
          <cell r="A101">
            <v>37499</v>
          </cell>
          <cell r="K101">
            <v>19695.134903110273</v>
          </cell>
        </row>
        <row r="102">
          <cell r="A102">
            <v>37529</v>
          </cell>
          <cell r="K102">
            <v>22283.079453842554</v>
          </cell>
        </row>
        <row r="103">
          <cell r="A103">
            <v>37560</v>
          </cell>
          <cell r="K103">
            <v>24160.483098582095</v>
          </cell>
        </row>
        <row r="104">
          <cell r="A104">
            <v>37590</v>
          </cell>
          <cell r="K104">
            <v>23670.11738692873</v>
          </cell>
        </row>
        <row r="105">
          <cell r="A105">
            <v>37621</v>
          </cell>
          <cell r="K105">
            <v>23195.874512013746</v>
          </cell>
        </row>
        <row r="106">
          <cell r="A106">
            <v>37652</v>
          </cell>
          <cell r="K106">
            <v>22737.000372967494</v>
          </cell>
        </row>
        <row r="107">
          <cell r="A107">
            <v>37680</v>
          </cell>
          <cell r="K107">
            <v>22292.792591191148</v>
          </cell>
        </row>
        <row r="108">
          <cell r="A108">
            <v>37711</v>
          </cell>
          <cell r="K108">
            <v>21862.595266071279</v>
          </cell>
        </row>
        <row r="109">
          <cell r="A109">
            <v>37741</v>
          </cell>
          <cell r="K109">
            <v>21445.794457576732</v>
          </cell>
        </row>
        <row r="110">
          <cell r="A110">
            <v>37772</v>
          </cell>
          <cell r="K110">
            <v>21041.814270798313</v>
          </cell>
        </row>
        <row r="111">
          <cell r="A111">
            <v>37802</v>
          </cell>
          <cell r="K111">
            <v>21249.33344241944</v>
          </cell>
        </row>
        <row r="112">
          <cell r="A112">
            <v>37833</v>
          </cell>
          <cell r="K112">
            <v>20832.012348474684</v>
          </cell>
        </row>
        <row r="113">
          <cell r="A113">
            <v>37864</v>
          </cell>
          <cell r="K113">
            <v>20445.880367918031</v>
          </cell>
        </row>
        <row r="114">
          <cell r="A114">
            <v>37894</v>
          </cell>
          <cell r="K114">
            <v>20088.69354848018</v>
          </cell>
        </row>
        <row r="115">
          <cell r="A115">
            <v>37925</v>
          </cell>
          <cell r="K115">
            <v>19707.292530793657</v>
          </cell>
        </row>
        <row r="116">
          <cell r="A116">
            <v>37955</v>
          </cell>
          <cell r="K116">
            <v>19370.48069435772</v>
          </cell>
        </row>
        <row r="117">
          <cell r="A117">
            <v>37986</v>
          </cell>
          <cell r="K117">
            <v>19010.772495022942</v>
          </cell>
        </row>
        <row r="118">
          <cell r="A118">
            <v>38017</v>
          </cell>
          <cell r="K118">
            <v>18677.291968622747</v>
          </cell>
        </row>
        <row r="119">
          <cell r="A119">
            <v>38046</v>
          </cell>
          <cell r="K119">
            <v>18384.231379403525</v>
          </cell>
        </row>
        <row r="120">
          <cell r="A120">
            <v>38077</v>
          </cell>
          <cell r="K120">
            <v>18038.089995202568</v>
          </cell>
        </row>
        <row r="121">
          <cell r="A121">
            <v>38107</v>
          </cell>
          <cell r="K121">
            <v>17745.879664522556</v>
          </cell>
        </row>
        <row r="122">
          <cell r="A122">
            <v>38138</v>
          </cell>
          <cell r="K122">
            <v>17438.132448622309</v>
          </cell>
        </row>
        <row r="123">
          <cell r="A123">
            <v>38168</v>
          </cell>
          <cell r="K123">
            <v>17764.777029644276</v>
          </cell>
        </row>
        <row r="124">
          <cell r="A124">
            <v>38199</v>
          </cell>
          <cell r="K124">
            <v>17435.932978914643</v>
          </cell>
        </row>
        <row r="125">
          <cell r="A125">
            <v>38230</v>
          </cell>
          <cell r="K125">
            <v>17147.531389617267</v>
          </cell>
        </row>
        <row r="126">
          <cell r="A126">
            <v>38260</v>
          </cell>
          <cell r="K126">
            <v>16896.334215043589</v>
          </cell>
        </row>
        <row r="127">
          <cell r="A127">
            <v>38291</v>
          </cell>
          <cell r="K127">
            <v>16593.293657517861</v>
          </cell>
        </row>
        <row r="128">
          <cell r="A128">
            <v>38321</v>
          </cell>
          <cell r="K128">
            <v>16354.751602919132</v>
          </cell>
        </row>
        <row r="129">
          <cell r="A129">
            <v>38352</v>
          </cell>
          <cell r="K129">
            <v>16071.822772377856</v>
          </cell>
        </row>
        <row r="130">
          <cell r="A130">
            <v>38383</v>
          </cell>
          <cell r="K130">
            <v>15824.528763503393</v>
          </cell>
        </row>
        <row r="131">
          <cell r="A131">
            <v>38411</v>
          </cell>
          <cell r="K131">
            <v>15664.692945699484</v>
          </cell>
        </row>
        <row r="132">
          <cell r="A132">
            <v>38442</v>
          </cell>
          <cell r="K132">
            <v>15348.38022631023</v>
          </cell>
        </row>
        <row r="133">
          <cell r="A133">
            <v>38472</v>
          </cell>
          <cell r="K133">
            <v>15142.862473585199</v>
          </cell>
        </row>
        <row r="134">
          <cell r="A134">
            <v>38503</v>
          </cell>
          <cell r="K134">
            <v>14895.528172120446</v>
          </cell>
        </row>
        <row r="135">
          <cell r="A135">
            <v>38533</v>
          </cell>
          <cell r="K135">
            <v>14999.26210025557</v>
          </cell>
        </row>
        <row r="136">
          <cell r="A136">
            <v>38564</v>
          </cell>
          <cell r="K136">
            <v>14745.435027610045</v>
          </cell>
        </row>
        <row r="137">
          <cell r="A137">
            <v>38595</v>
          </cell>
          <cell r="K137">
            <v>14528.953431130969</v>
          </cell>
        </row>
        <row r="138">
          <cell r="A138">
            <v>38625</v>
          </cell>
          <cell r="K138">
            <v>14346.739228189115</v>
          </cell>
        </row>
        <row r="139">
          <cell r="A139">
            <v>38656</v>
          </cell>
          <cell r="K139">
            <v>14111.529525407077</v>
          </cell>
        </row>
        <row r="140">
          <cell r="A140">
            <v>38686</v>
          </cell>
          <cell r="K140">
            <v>13937.526382029071</v>
          </cell>
        </row>
        <row r="141">
          <cell r="A141">
            <v>38717</v>
          </cell>
          <cell r="K141">
            <v>13713.796586756758</v>
          </cell>
        </row>
        <row r="142">
          <cell r="A142">
            <v>38748</v>
          </cell>
          <cell r="K142">
            <v>13521.941447076631</v>
          </cell>
        </row>
        <row r="143">
          <cell r="A143">
            <v>38776</v>
          </cell>
          <cell r="K143">
            <v>13414.276590188892</v>
          </cell>
        </row>
        <row r="144">
          <cell r="A144">
            <v>38807</v>
          </cell>
          <cell r="K144">
            <v>13151.561774732498</v>
          </cell>
        </row>
        <row r="145">
          <cell r="A145">
            <v>38837</v>
          </cell>
          <cell r="K145">
            <v>12996.050712568098</v>
          </cell>
        </row>
        <row r="146">
          <cell r="A146">
            <v>38868</v>
          </cell>
          <cell r="K146">
            <v>12798.100899944016</v>
          </cell>
        </row>
        <row r="147">
          <cell r="A147">
            <v>38898</v>
          </cell>
          <cell r="K147">
            <v>12649.23345742841</v>
          </cell>
        </row>
        <row r="148">
          <cell r="A148">
            <v>38929</v>
          </cell>
          <cell r="K148">
            <v>12460.542978040221</v>
          </cell>
        </row>
        <row r="149">
          <cell r="A149">
            <v>38960</v>
          </cell>
          <cell r="K149">
            <v>12297.46738305793</v>
          </cell>
        </row>
        <row r="150">
          <cell r="A150">
            <v>38990</v>
          </cell>
          <cell r="K150">
            <v>12157.877785026552</v>
          </cell>
        </row>
        <row r="151">
          <cell r="A151">
            <v>39021</v>
          </cell>
          <cell r="K151">
            <v>11982.108357518569</v>
          </cell>
        </row>
        <row r="152">
          <cell r="A152">
            <v>39051</v>
          </cell>
          <cell r="K152">
            <v>11848.276211242577</v>
          </cell>
        </row>
        <row r="153">
          <cell r="A153">
            <v>39082</v>
          </cell>
          <cell r="K153">
            <v>11680.491276119157</v>
          </cell>
        </row>
        <row r="154">
          <cell r="A154">
            <v>39113</v>
          </cell>
          <cell r="K154">
            <v>11534.586188974572</v>
          </cell>
        </row>
        <row r="155">
          <cell r="A155">
            <v>39141</v>
          </cell>
          <cell r="K155">
            <v>11446.36618652699</v>
          </cell>
        </row>
        <row r="156">
          <cell r="A156">
            <v>39172</v>
          </cell>
          <cell r="K156">
            <v>11252.159003363089</v>
          </cell>
        </row>
        <row r="157">
          <cell r="A157">
            <v>39202</v>
          </cell>
          <cell r="K157">
            <v>11131.364774624881</v>
          </cell>
        </row>
        <row r="158">
          <cell r="A158">
            <v>39233</v>
          </cell>
          <cell r="K158">
            <v>10981.635943144689</v>
          </cell>
        </row>
        <row r="159">
          <cell r="A159">
            <v>39263</v>
          </cell>
          <cell r="K159">
            <v>10865.587170783914</v>
          </cell>
        </row>
        <row r="160">
          <cell r="A160">
            <v>39294</v>
          </cell>
          <cell r="K160">
            <v>10722.375253750215</v>
          </cell>
        </row>
        <row r="161">
          <cell r="A161">
            <v>39325</v>
          </cell>
          <cell r="K161">
            <v>10596.769041677633</v>
          </cell>
        </row>
        <row r="162">
          <cell r="A162">
            <v>39355</v>
          </cell>
          <cell r="K162">
            <v>10487.595327372725</v>
          </cell>
        </row>
        <row r="163">
          <cell r="A163">
            <v>39386</v>
          </cell>
          <cell r="K163">
            <v>10353.841335765354</v>
          </cell>
        </row>
        <row r="164">
          <cell r="A164">
            <v>39416</v>
          </cell>
          <cell r="K164">
            <v>10248.864948985512</v>
          </cell>
        </row>
        <row r="165">
          <cell r="A165">
            <v>39447</v>
          </cell>
          <cell r="K165">
            <v>10120.753307959711</v>
          </cell>
        </row>
        <row r="166">
          <cell r="A166">
            <v>39478</v>
          </cell>
          <cell r="K166">
            <v>10007.695205367503</v>
          </cell>
        </row>
        <row r="167">
          <cell r="A167">
            <v>39507</v>
          </cell>
          <cell r="K167">
            <v>9920.8910266248822</v>
          </cell>
        </row>
        <row r="168">
          <cell r="A168">
            <v>39538</v>
          </cell>
          <cell r="K168">
            <v>9788.2526932483306</v>
          </cell>
        </row>
        <row r="169">
          <cell r="A169">
            <v>39568</v>
          </cell>
          <cell r="K169">
            <v>9692.6436084900815</v>
          </cell>
        </row>
        <row r="170">
          <cell r="A170">
            <v>39599</v>
          </cell>
          <cell r="K170">
            <v>9577.3186051414978</v>
          </cell>
        </row>
        <row r="171">
          <cell r="A171">
            <v>39629</v>
          </cell>
          <cell r="K171">
            <v>9485.1238954067358</v>
          </cell>
        </row>
        <row r="172">
          <cell r="A172">
            <v>39660</v>
          </cell>
          <cell r="K172">
            <v>9374.4570227537988</v>
          </cell>
        </row>
        <row r="173">
          <cell r="A173">
            <v>39691</v>
          </cell>
          <cell r="K173">
            <v>9275.9268156545222</v>
          </cell>
        </row>
        <row r="174">
          <cell r="A174">
            <v>39721</v>
          </cell>
          <cell r="K174">
            <v>9188.5533431312269</v>
          </cell>
        </row>
        <row r="175">
          <cell r="A175">
            <v>39752</v>
          </cell>
          <cell r="K175">
            <v>9084.3978720282703</v>
          </cell>
        </row>
        <row r="176">
          <cell r="A176">
            <v>39782</v>
          </cell>
          <cell r="K176">
            <v>9000.0528259362018</v>
          </cell>
        </row>
        <row r="177">
          <cell r="A177">
            <v>39813</v>
          </cell>
          <cell r="K177">
            <v>8899.9617456941032</v>
          </cell>
        </row>
        <row r="178">
          <cell r="A178">
            <v>39844</v>
          </cell>
          <cell r="K178">
            <v>8810.2892514029973</v>
          </cell>
        </row>
        <row r="179">
          <cell r="A179">
            <v>39872</v>
          </cell>
          <cell r="K179">
            <v>8747.7610058861464</v>
          </cell>
        </row>
        <row r="180">
          <cell r="A180">
            <v>39903</v>
          </cell>
          <cell r="K180">
            <v>8635.8336795335417</v>
          </cell>
        </row>
        <row r="181">
          <cell r="A181">
            <v>39933</v>
          </cell>
          <cell r="K181">
            <v>8457.7813215960414</v>
          </cell>
        </row>
        <row r="182">
          <cell r="A182">
            <v>39964</v>
          </cell>
          <cell r="K182">
            <v>8367.6933559839217</v>
          </cell>
        </row>
        <row r="183">
          <cell r="A183">
            <v>39994</v>
          </cell>
          <cell r="K183">
            <v>8293.5332312519658</v>
          </cell>
        </row>
        <row r="184">
          <cell r="A184">
            <v>40025</v>
          </cell>
          <cell r="K184">
            <v>8206.8314726212229</v>
          </cell>
        </row>
        <row r="185">
          <cell r="A185">
            <v>40056</v>
          </cell>
          <cell r="K185">
            <v>8128.5094526086777</v>
          </cell>
        </row>
        <row r="186">
          <cell r="A186">
            <v>40086</v>
          </cell>
          <cell r="K186">
            <v>8057.9293631287974</v>
          </cell>
        </row>
        <row r="187">
          <cell r="A187">
            <v>40117</v>
          </cell>
          <cell r="K187">
            <v>7975.9541886191582</v>
          </cell>
        </row>
        <row r="188">
          <cell r="A188">
            <v>40147</v>
          </cell>
          <cell r="K188">
            <v>7907.6276801501481</v>
          </cell>
        </row>
        <row r="189">
          <cell r="A189">
            <v>40178</v>
          </cell>
          <cell r="K189">
            <v>7828.6143304763264</v>
          </cell>
        </row>
        <row r="190">
          <cell r="A190">
            <v>40209</v>
          </cell>
          <cell r="K190">
            <v>7756.8293499940419</v>
          </cell>
        </row>
        <row r="191">
          <cell r="A191">
            <v>40237</v>
          </cell>
          <cell r="K191">
            <v>7603.6768654513708</v>
          </cell>
        </row>
        <row r="192">
          <cell r="A192">
            <v>40268</v>
          </cell>
          <cell r="K192">
            <v>7517.8723733658717</v>
          </cell>
        </row>
        <row r="193">
          <cell r="A193">
            <v>40298</v>
          </cell>
          <cell r="K193">
            <v>7455.7378731572771</v>
          </cell>
        </row>
        <row r="194">
          <cell r="A194">
            <v>40329</v>
          </cell>
          <cell r="K194">
            <v>7384.541665088901</v>
          </cell>
        </row>
        <row r="195">
          <cell r="A195">
            <v>40359</v>
          </cell>
          <cell r="K195">
            <v>7324.3026452992935</v>
          </cell>
        </row>
        <row r="196">
          <cell r="A196">
            <v>40390</v>
          </cell>
          <cell r="K196">
            <v>7255.5602870102084</v>
          </cell>
        </row>
        <row r="197">
          <cell r="A197">
            <v>40421</v>
          </cell>
          <cell r="K197">
            <v>7192.6246223935459</v>
          </cell>
        </row>
        <row r="198">
          <cell r="A198">
            <v>40451</v>
          </cell>
          <cell r="K198">
            <v>7135.0662250695259</v>
          </cell>
        </row>
        <row r="199">
          <cell r="A199">
            <v>40482</v>
          </cell>
          <cell r="K199">
            <v>7069.7861932134938</v>
          </cell>
        </row>
        <row r="200">
          <cell r="A200">
            <v>40512</v>
          </cell>
          <cell r="K200">
            <v>7013.9061332485162</v>
          </cell>
        </row>
        <row r="201">
          <cell r="A201">
            <v>40543</v>
          </cell>
          <cell r="K201">
            <v>6950.808144099874</v>
          </cell>
        </row>
        <row r="202">
          <cell r="A202">
            <v>40574</v>
          </cell>
          <cell r="K202">
            <v>6892.7148019910392</v>
          </cell>
        </row>
        <row r="203">
          <cell r="A203">
            <v>40602</v>
          </cell>
          <cell r="K203">
            <v>6847.4691457621147</v>
          </cell>
        </row>
        <row r="204">
          <cell r="A204">
            <v>40633</v>
          </cell>
          <cell r="K204">
            <v>6779.2346626877234</v>
          </cell>
        </row>
        <row r="205">
          <cell r="A205">
            <v>40663</v>
          </cell>
          <cell r="K205">
            <v>6727.2752747791665</v>
          </cell>
        </row>
        <row r="206">
          <cell r="A206">
            <v>40694</v>
          </cell>
          <cell r="K206">
            <v>6669.1853255508267</v>
          </cell>
        </row>
        <row r="207">
          <cell r="A207">
            <v>40724</v>
          </cell>
          <cell r="K207">
            <v>6618.6895672338951</v>
          </cell>
        </row>
        <row r="208">
          <cell r="A208">
            <v>40755</v>
          </cell>
          <cell r="K208">
            <v>6562.453148420921</v>
          </cell>
        </row>
        <row r="209">
          <cell r="A209">
            <v>40786</v>
          </cell>
          <cell r="K209">
            <v>6510.281602126076</v>
          </cell>
        </row>
        <row r="210">
          <cell r="A210">
            <v>40816</v>
          </cell>
          <cell r="K210">
            <v>6461.8508342441301</v>
          </cell>
        </row>
        <row r="211">
          <cell r="A211">
            <v>40847</v>
          </cell>
          <cell r="K211">
            <v>6408.2371123954035</v>
          </cell>
        </row>
        <row r="212">
          <cell r="A212">
            <v>40877</v>
          </cell>
          <cell r="K212">
            <v>6361.1270551413645</v>
          </cell>
        </row>
        <row r="213">
          <cell r="A213">
            <v>40908</v>
          </cell>
          <cell r="K213">
            <v>6309.1476215576031</v>
          </cell>
        </row>
        <row r="214">
          <cell r="A214">
            <v>40939</v>
          </cell>
          <cell r="K214">
            <v>6106.0885404414003</v>
          </cell>
        </row>
        <row r="215">
          <cell r="A215">
            <v>40968</v>
          </cell>
          <cell r="K215">
            <v>6068.0870034319323</v>
          </cell>
        </row>
        <row r="216">
          <cell r="A216">
            <v>40999</v>
          </cell>
          <cell r="K216">
            <v>6020.1024235085242</v>
          </cell>
        </row>
        <row r="217">
          <cell r="A217">
            <v>41029</v>
          </cell>
          <cell r="K217">
            <v>5980.30728471768</v>
          </cell>
        </row>
        <row r="218">
          <cell r="A218">
            <v>41060</v>
          </cell>
          <cell r="K218">
            <v>5936.2542273651243</v>
          </cell>
        </row>
        <row r="219">
          <cell r="A219">
            <v>41090</v>
          </cell>
          <cell r="K219">
            <v>5897.3460440203598</v>
          </cell>
        </row>
        <row r="220">
          <cell r="A220">
            <v>41121</v>
          </cell>
          <cell r="K220">
            <v>5854.475675642635</v>
          </cell>
        </row>
        <row r="221">
          <cell r="A221">
            <v>41152</v>
          </cell>
          <cell r="K221">
            <v>5814.3162078244222</v>
          </cell>
        </row>
        <row r="222">
          <cell r="A222">
            <v>41182</v>
          </cell>
          <cell r="K222">
            <v>5776.7008671486255</v>
          </cell>
        </row>
        <row r="223">
          <cell r="A223">
            <v>41213</v>
          </cell>
          <cell r="K223">
            <v>5735.4830176539472</v>
          </cell>
        </row>
        <row r="224">
          <cell r="A224">
            <v>41243</v>
          </cell>
          <cell r="K224">
            <v>5698.6861574070153</v>
          </cell>
        </row>
        <row r="225">
          <cell r="A225">
            <v>41274</v>
          </cell>
          <cell r="K225">
            <v>5658.5339151753806</v>
          </cell>
        </row>
        <row r="226">
          <cell r="A226">
            <v>41305</v>
          </cell>
          <cell r="K226">
            <v>5620.7300471991093</v>
          </cell>
        </row>
        <row r="227">
          <cell r="A227">
            <v>41333</v>
          </cell>
          <cell r="K227">
            <v>5588.9784340575916</v>
          </cell>
        </row>
        <row r="228">
          <cell r="A228">
            <v>41364</v>
          </cell>
          <cell r="K228">
            <v>5546.4630776272043</v>
          </cell>
        </row>
        <row r="229">
          <cell r="A229">
            <v>41394</v>
          </cell>
          <cell r="K229">
            <v>5511.6280981282143</v>
          </cell>
        </row>
        <row r="230">
          <cell r="A230">
            <v>41425</v>
          </cell>
          <cell r="K230">
            <v>5473.9477312573399</v>
          </cell>
        </row>
        <row r="231">
          <cell r="A231">
            <v>41455</v>
          </cell>
          <cell r="K231">
            <v>5439.8263254018357</v>
          </cell>
        </row>
        <row r="232">
          <cell r="A232">
            <v>41486</v>
          </cell>
          <cell r="K232">
            <v>5403.0783389351573</v>
          </cell>
        </row>
        <row r="233">
          <cell r="A233">
            <v>41517</v>
          </cell>
          <cell r="K233">
            <v>5368.2483375884995</v>
          </cell>
        </row>
        <row r="234">
          <cell r="A234">
            <v>41547</v>
          </cell>
          <cell r="K234">
            <v>5335.2009918973099</v>
          </cell>
        </row>
        <row r="235">
          <cell r="A235">
            <v>41578</v>
          </cell>
          <cell r="K235">
            <v>5299.781074720684</v>
          </cell>
        </row>
        <row r="236">
          <cell r="A236">
            <v>41608</v>
          </cell>
          <cell r="K236">
            <v>5267.4234588295294</v>
          </cell>
        </row>
        <row r="237">
          <cell r="A237">
            <v>41639</v>
          </cell>
          <cell r="K237">
            <v>5232.8331145629081</v>
          </cell>
        </row>
        <row r="238">
          <cell r="A238">
            <v>41670</v>
          </cell>
          <cell r="K238">
            <v>5199.9251075499678</v>
          </cell>
        </row>
        <row r="239">
          <cell r="A239">
            <v>41698</v>
          </cell>
          <cell r="K239">
            <v>5171.2045964941644</v>
          </cell>
        </row>
        <row r="240">
          <cell r="A240">
            <v>41729</v>
          </cell>
          <cell r="K240">
            <v>5129.4768310195859</v>
          </cell>
        </row>
        <row r="241">
          <cell r="A241">
            <v>41759</v>
          </cell>
          <cell r="K241">
            <v>5094.6571495763756</v>
          </cell>
        </row>
        <row r="242">
          <cell r="A242">
            <v>41790</v>
          </cell>
          <cell r="K242">
            <v>5057.8509774027025</v>
          </cell>
        </row>
        <row r="243">
          <cell r="A243">
            <v>41820</v>
          </cell>
          <cell r="K243">
            <v>5022.7238245433382</v>
          </cell>
        </row>
        <row r="244">
          <cell r="A244">
            <v>41851</v>
          </cell>
          <cell r="K244">
            <v>4992.0512839208832</v>
          </cell>
        </row>
        <row r="245">
          <cell r="A245">
            <v>41882</v>
          </cell>
          <cell r="K245">
            <v>4962.1290294604469</v>
          </cell>
        </row>
        <row r="246">
          <cell r="A246">
            <v>41912</v>
          </cell>
          <cell r="K246">
            <v>4932.9028142632533</v>
          </cell>
        </row>
        <row r="247">
          <cell r="A247">
            <v>41943</v>
          </cell>
          <cell r="K247">
            <v>4903.1984688302282</v>
          </cell>
        </row>
        <row r="248">
          <cell r="A248">
            <v>41973</v>
          </cell>
          <cell r="K248">
            <v>4874.5518993320875</v>
          </cell>
        </row>
        <row r="249">
          <cell r="A249">
            <v>42004</v>
          </cell>
          <cell r="K249">
            <v>4845.469085926251</v>
          </cell>
        </row>
        <row r="250">
          <cell r="A250">
            <v>42035</v>
          </cell>
          <cell r="K250">
            <v>4817.0360811170985</v>
          </cell>
        </row>
        <row r="251">
          <cell r="A251">
            <v>42063</v>
          </cell>
          <cell r="K251">
            <v>4789.9790081604851</v>
          </cell>
        </row>
        <row r="252">
          <cell r="A252">
            <v>42094</v>
          </cell>
          <cell r="K252">
            <v>4655.3091893999826</v>
          </cell>
        </row>
        <row r="253">
          <cell r="A253">
            <v>42124</v>
          </cell>
          <cell r="K253">
            <v>4624.5384241698275</v>
          </cell>
        </row>
        <row r="254">
          <cell r="A254">
            <v>42155</v>
          </cell>
          <cell r="K254">
            <v>4598.1163616810209</v>
          </cell>
        </row>
        <row r="255">
          <cell r="A255">
            <v>42185</v>
          </cell>
          <cell r="K255">
            <v>4571.9494782287675</v>
          </cell>
        </row>
        <row r="256">
          <cell r="A256">
            <v>42216</v>
          </cell>
          <cell r="K256">
            <v>4546.0343119280515</v>
          </cell>
        </row>
        <row r="257">
          <cell r="A257">
            <v>42247</v>
          </cell>
          <cell r="K257">
            <v>4520.3674613842759</v>
          </cell>
        </row>
        <row r="258">
          <cell r="A258">
            <v>42277</v>
          </cell>
          <cell r="K258">
            <v>4494.9455843983633</v>
          </cell>
        </row>
        <row r="259">
          <cell r="A259">
            <v>42308</v>
          </cell>
          <cell r="K259">
            <v>4469.7653967053429</v>
          </cell>
        </row>
        <row r="260">
          <cell r="A260">
            <v>42338</v>
          </cell>
          <cell r="K260">
            <v>4444.8236707426086</v>
          </cell>
        </row>
        <row r="261">
          <cell r="A261">
            <v>42369</v>
          </cell>
          <cell r="K261">
            <v>4420.1172344523093</v>
          </cell>
        </row>
        <row r="262">
          <cell r="A262">
            <v>42400</v>
          </cell>
          <cell r="K262">
            <v>4395.6429701109637</v>
          </cell>
        </row>
        <row r="263">
          <cell r="A263">
            <v>42429</v>
          </cell>
          <cell r="K263">
            <v>4371.3978131899639</v>
          </cell>
        </row>
        <row r="264">
          <cell r="A264">
            <v>42460</v>
          </cell>
          <cell r="K264">
            <v>4347.3787512442468</v>
          </cell>
        </row>
        <row r="265">
          <cell r="A265">
            <v>42490</v>
          </cell>
          <cell r="K265">
            <v>4323.5828228274995</v>
          </cell>
        </row>
        <row r="266">
          <cell r="A266">
            <v>42521</v>
          </cell>
          <cell r="K266">
            <v>4300.0071164356314</v>
          </cell>
        </row>
        <row r="267">
          <cell r="A267">
            <v>42551</v>
          </cell>
          <cell r="K267">
            <v>4276.6487694748594</v>
          </cell>
        </row>
        <row r="268">
          <cell r="A268">
            <v>42582</v>
          </cell>
          <cell r="K268">
            <v>4253.5049672560062</v>
          </cell>
        </row>
        <row r="269">
          <cell r="A269">
            <v>42613</v>
          </cell>
          <cell r="K269">
            <v>4230.5729420126836</v>
          </cell>
        </row>
        <row r="270">
          <cell r="A270">
            <v>42643</v>
          </cell>
          <cell r="K270">
            <v>4207.8499719437605</v>
          </cell>
        </row>
        <row r="271">
          <cell r="A271">
            <v>42674</v>
          </cell>
          <cell r="K271">
            <v>4185.3333802785801</v>
          </cell>
        </row>
        <row r="272">
          <cell r="A272">
            <v>42704</v>
          </cell>
          <cell r="K272">
            <v>4163.0205343653397</v>
          </cell>
        </row>
        <row r="273">
          <cell r="A273">
            <v>42735</v>
          </cell>
          <cell r="K273">
            <v>4140.9088447804324</v>
          </cell>
        </row>
        <row r="274">
          <cell r="A274">
            <v>42766</v>
          </cell>
          <cell r="K274">
            <v>4118.9957644599108</v>
          </cell>
        </row>
        <row r="275">
          <cell r="A275">
            <v>42794</v>
          </cell>
          <cell r="K275">
            <v>4097.27878785131</v>
          </cell>
        </row>
        <row r="276">
          <cell r="A276">
            <v>42825</v>
          </cell>
          <cell r="K276">
            <v>4075.7554500854285</v>
          </cell>
        </row>
        <row r="277">
          <cell r="A277">
            <v>42855</v>
          </cell>
          <cell r="K277">
            <v>4054.4233261678696</v>
          </cell>
        </row>
        <row r="278">
          <cell r="A278">
            <v>42886</v>
          </cell>
          <cell r="K278">
            <v>4033.2800301900606</v>
          </cell>
        </row>
        <row r="279">
          <cell r="A279">
            <v>42916</v>
          </cell>
          <cell r="K279">
            <v>4012.3232145573766</v>
          </cell>
        </row>
        <row r="280">
          <cell r="A280">
            <v>42947</v>
          </cell>
          <cell r="K280">
            <v>3991.5505692370034</v>
          </cell>
        </row>
        <row r="281">
          <cell r="A281">
            <v>42978</v>
          </cell>
          <cell r="K281">
            <v>3970.9598210223025</v>
          </cell>
        </row>
        <row r="282">
          <cell r="A282">
            <v>43008</v>
          </cell>
          <cell r="K282">
            <v>3950.5487328144145</v>
          </cell>
        </row>
        <row r="283">
          <cell r="A283">
            <v>43039</v>
          </cell>
          <cell r="K283">
            <v>3930.3151029202136</v>
          </cell>
        </row>
        <row r="284">
          <cell r="A284">
            <v>43069</v>
          </cell>
          <cell r="K284">
            <v>3910.2567643676302</v>
          </cell>
        </row>
        <row r="285">
          <cell r="A285">
            <v>43100</v>
          </cell>
          <cell r="K285">
            <v>3890.3715842345437</v>
          </cell>
        </row>
        <row r="286">
          <cell r="A286">
            <v>43131</v>
          </cell>
          <cell r="K286">
            <v>3870.6574629951292</v>
          </cell>
        </row>
        <row r="287">
          <cell r="A287">
            <v>43159</v>
          </cell>
          <cell r="K287">
            <v>3851.1123338796615</v>
          </cell>
        </row>
        <row r="288">
          <cell r="A288">
            <v>43190</v>
          </cell>
          <cell r="K288">
            <v>3831.7341622496097</v>
          </cell>
        </row>
        <row r="289">
          <cell r="A289">
            <v>43220</v>
          </cell>
          <cell r="K289">
            <v>3812.5209449864969</v>
          </cell>
        </row>
        <row r="290">
          <cell r="A290">
            <v>43251</v>
          </cell>
          <cell r="K290">
            <v>3793.4707098945546</v>
          </cell>
        </row>
        <row r="291">
          <cell r="A291">
            <v>43281</v>
          </cell>
          <cell r="K291">
            <v>3774.5815151167944</v>
          </cell>
        </row>
        <row r="292">
          <cell r="A292">
            <v>43312</v>
          </cell>
          <cell r="K292">
            <v>3755.8514485643641</v>
          </cell>
        </row>
        <row r="293">
          <cell r="A293">
            <v>43343</v>
          </cell>
          <cell r="K293">
            <v>3737.2786273582387</v>
          </cell>
        </row>
        <row r="294">
          <cell r="A294">
            <v>43373</v>
          </cell>
          <cell r="K294">
            <v>3718.8611972833992</v>
          </cell>
        </row>
        <row r="295">
          <cell r="A295">
            <v>43404</v>
          </cell>
          <cell r="K295">
            <v>3700.5973322553741</v>
          </cell>
        </row>
        <row r="296">
          <cell r="A296">
            <v>43434</v>
          </cell>
          <cell r="K296">
            <v>3682.485233798262</v>
          </cell>
        </row>
        <row r="297">
          <cell r="A297">
            <v>43465</v>
          </cell>
          <cell r="K297">
            <v>3664.5231305340458</v>
          </cell>
        </row>
        <row r="298">
          <cell r="A298">
            <v>43496</v>
          </cell>
          <cell r="K298">
            <v>3646.7092776836862</v>
          </cell>
        </row>
        <row r="299">
          <cell r="A299">
            <v>43524</v>
          </cell>
          <cell r="K299">
            <v>3629.0419565784123</v>
          </cell>
        </row>
        <row r="300">
          <cell r="A300">
            <v>43555</v>
          </cell>
          <cell r="K300">
            <v>3611.5194741818059</v>
          </cell>
        </row>
        <row r="301">
          <cell r="A301">
            <v>43585</v>
          </cell>
          <cell r="K301">
            <v>3594.1401626227321</v>
          </cell>
        </row>
        <row r="302">
          <cell r="A302">
            <v>43616</v>
          </cell>
          <cell r="K302">
            <v>3576.9023787379524</v>
          </cell>
        </row>
        <row r="303">
          <cell r="A303">
            <v>43646</v>
          </cell>
          <cell r="K303">
            <v>3559.8045036242247</v>
          </cell>
        </row>
        <row r="304">
          <cell r="A304">
            <v>43677</v>
          </cell>
          <cell r="K304">
            <v>3542.8449422005069</v>
          </cell>
        </row>
        <row r="305">
          <cell r="A305">
            <v>43708</v>
          </cell>
          <cell r="K305">
            <v>3425.9214061632679</v>
          </cell>
        </row>
        <row r="306">
          <cell r="A306">
            <v>43738</v>
          </cell>
          <cell r="K306">
            <v>3410.0342616734779</v>
          </cell>
        </row>
        <row r="307">
          <cell r="A307">
            <v>43769</v>
          </cell>
          <cell r="K307">
            <v>3394.2724826095155</v>
          </cell>
        </row>
        <row r="308">
          <cell r="A308">
            <v>43799</v>
          </cell>
          <cell r="K308">
            <v>3378.6346706951872</v>
          </cell>
        </row>
        <row r="309">
          <cell r="A309">
            <v>43830</v>
          </cell>
          <cell r="K309">
            <v>3363.1194478281277</v>
          </cell>
        </row>
        <row r="310">
          <cell r="A310">
            <v>43861</v>
          </cell>
          <cell r="K310">
            <v>3347.725455721953</v>
          </cell>
        </row>
        <row r="311">
          <cell r="A311">
            <v>43890</v>
          </cell>
          <cell r="K311">
            <v>3332.451355556917</v>
          </cell>
        </row>
        <row r="312">
          <cell r="A312">
            <v>43921</v>
          </cell>
          <cell r="K312">
            <v>3317.2958276370409</v>
          </cell>
        </row>
        <row r="313">
          <cell r="A313">
            <v>43951</v>
          </cell>
          <cell r="K313">
            <v>3302.2575710547803</v>
          </cell>
        </row>
        <row r="314">
          <cell r="A314">
            <v>43982</v>
          </cell>
          <cell r="K314">
            <v>3287.3353033627372</v>
          </cell>
        </row>
        <row r="315">
          <cell r="A315">
            <v>44012</v>
          </cell>
          <cell r="K315">
            <v>3272.5277602521192</v>
          </cell>
        </row>
        <row r="316">
          <cell r="A316">
            <v>44043</v>
          </cell>
          <cell r="K316">
            <v>3257.8336952372756</v>
          </cell>
        </row>
        <row r="317">
          <cell r="A317">
            <v>44074</v>
          </cell>
          <cell r="K317">
            <v>3243.2518793480858</v>
          </cell>
        </row>
        <row r="318">
          <cell r="A318">
            <v>44104</v>
          </cell>
          <cell r="K318">
            <v>3228.7811008269819</v>
          </cell>
        </row>
        <row r="319">
          <cell r="A319">
            <v>44135</v>
          </cell>
          <cell r="K319">
            <v>3214.4201648337275</v>
          </cell>
        </row>
        <row r="320">
          <cell r="A320">
            <v>44165</v>
          </cell>
          <cell r="K320">
            <v>3200.1678931547585</v>
          </cell>
        </row>
        <row r="321">
          <cell r="A321">
            <v>44196</v>
          </cell>
          <cell r="K321">
            <v>3186.0231239198847</v>
          </cell>
        </row>
        <row r="322">
          <cell r="A322">
            <v>44227</v>
          </cell>
          <cell r="K322">
            <v>3171.9847113236046</v>
          </cell>
        </row>
        <row r="323">
          <cell r="A323">
            <v>44255</v>
          </cell>
          <cell r="K323">
            <v>3158.0515253525791</v>
          </cell>
        </row>
        <row r="324">
          <cell r="A324">
            <v>44286</v>
          </cell>
          <cell r="K324">
            <v>3144.2224515182693</v>
          </cell>
        </row>
        <row r="325">
          <cell r="A325">
            <v>44316</v>
          </cell>
          <cell r="K325">
            <v>3130.4963905956261</v>
          </cell>
        </row>
        <row r="326">
          <cell r="A326">
            <v>44347</v>
          </cell>
          <cell r="K326">
            <v>3116.8722583658882</v>
          </cell>
        </row>
        <row r="327">
          <cell r="A327">
            <v>44377</v>
          </cell>
          <cell r="K327">
            <v>3103.3489853658571</v>
          </cell>
        </row>
        <row r="328">
          <cell r="A328">
            <v>44408</v>
          </cell>
          <cell r="K328">
            <v>3089.9255166405824</v>
          </cell>
        </row>
        <row r="329">
          <cell r="A329">
            <v>44439</v>
          </cell>
          <cell r="K329">
            <v>3076.6008115027103</v>
          </cell>
        </row>
        <row r="330">
          <cell r="A330">
            <v>44469</v>
          </cell>
          <cell r="K330">
            <v>3063.3738432950754</v>
          </cell>
        </row>
        <row r="331">
          <cell r="A331">
            <v>44500</v>
          </cell>
          <cell r="K331">
            <v>3050.2435991585803</v>
          </cell>
        </row>
        <row r="332">
          <cell r="A332">
            <v>44530</v>
          </cell>
          <cell r="K332">
            <v>3037.2090798048857</v>
          </cell>
        </row>
        <row r="333">
          <cell r="A333">
            <v>44561</v>
          </cell>
          <cell r="K333">
            <v>3024.2692992932775</v>
          </cell>
        </row>
        <row r="334">
          <cell r="A334">
            <v>44592</v>
          </cell>
          <cell r="K334">
            <v>3011.4232848114702</v>
          </cell>
        </row>
        <row r="335">
          <cell r="A335">
            <v>44620</v>
          </cell>
          <cell r="K335">
            <v>2998.6700764615889</v>
          </cell>
        </row>
        <row r="336">
          <cell r="A336">
            <v>44651</v>
          </cell>
          <cell r="K336">
            <v>2986.0087270494482</v>
          </cell>
        </row>
        <row r="337">
          <cell r="A337">
            <v>44681</v>
          </cell>
          <cell r="K337">
            <v>2973.4383018785024</v>
          </cell>
        </row>
        <row r="338">
          <cell r="A338">
            <v>44712</v>
          </cell>
          <cell r="K338">
            <v>2960.9578785471285</v>
          </cell>
        </row>
        <row r="339">
          <cell r="A339">
            <v>44742</v>
          </cell>
          <cell r="K339">
            <v>2948.5665467506351</v>
          </cell>
        </row>
        <row r="340">
          <cell r="A340">
            <v>44773</v>
          </cell>
          <cell r="K340">
            <v>2936.2634080862372</v>
          </cell>
        </row>
        <row r="341">
          <cell r="A341">
            <v>44804</v>
          </cell>
          <cell r="K341">
            <v>2924.0475758625253</v>
          </cell>
        </row>
        <row r="342">
          <cell r="A342">
            <v>44834</v>
          </cell>
          <cell r="K342">
            <v>2911.9181749112972</v>
          </cell>
        </row>
        <row r="343">
          <cell r="A343">
            <v>44865</v>
          </cell>
          <cell r="K343">
            <v>2899.8743414049809</v>
          </cell>
        </row>
        <row r="344">
          <cell r="A344">
            <v>44895</v>
          </cell>
          <cell r="K344">
            <v>2887.9152226755605</v>
          </cell>
        </row>
        <row r="345">
          <cell r="A345">
            <v>44926</v>
          </cell>
          <cell r="K345">
            <v>2876.0399770378403</v>
          </cell>
        </row>
        <row r="346">
          <cell r="A346">
            <v>44957</v>
          </cell>
          <cell r="K346">
            <v>2864.2477736159112</v>
          </cell>
        </row>
        <row r="347">
          <cell r="A347">
            <v>44985</v>
          </cell>
          <cell r="K347">
            <v>2852.5377921728132</v>
          </cell>
        </row>
        <row r="348">
          <cell r="A348">
            <v>45016</v>
          </cell>
          <cell r="K348">
            <v>2840.909222943646</v>
          </cell>
        </row>
        <row r="349">
          <cell r="A349">
            <v>45046</v>
          </cell>
          <cell r="K349">
            <v>2829.3612664711845</v>
          </cell>
        </row>
        <row r="350">
          <cell r="A350">
            <v>45077</v>
          </cell>
          <cell r="K350">
            <v>2817.8931334450558</v>
          </cell>
        </row>
        <row r="351">
          <cell r="A351">
            <v>45107</v>
          </cell>
          <cell r="K351">
            <v>2806.5040445437767</v>
          </cell>
        </row>
        <row r="352">
          <cell r="A352">
            <v>45138</v>
          </cell>
          <cell r="K352">
            <v>2795.1932302796804</v>
          </cell>
        </row>
        <row r="353">
          <cell r="A353">
            <v>45169</v>
          </cell>
          <cell r="K353">
            <v>2783.9599308467168</v>
          </cell>
        </row>
        <row r="354">
          <cell r="A354">
            <v>45199</v>
          </cell>
          <cell r="K354">
            <v>2772.8033959709419</v>
          </cell>
        </row>
        <row r="355">
          <cell r="A355">
            <v>45230</v>
          </cell>
          <cell r="K355">
            <v>2761.722884763793</v>
          </cell>
        </row>
        <row r="356">
          <cell r="A356">
            <v>45260</v>
          </cell>
          <cell r="K356">
            <v>2750.717665578075</v>
          </cell>
        </row>
        <row r="357">
          <cell r="A357">
            <v>45291</v>
          </cell>
          <cell r="K357">
            <v>2739.7870158668616</v>
          </cell>
        </row>
        <row r="358">
          <cell r="A358">
            <v>45322</v>
          </cell>
          <cell r="K358">
            <v>2728.9302220441391</v>
          </cell>
        </row>
        <row r="359">
          <cell r="A359">
            <v>45351</v>
          </cell>
          <cell r="K359">
            <v>2718.1465793489942</v>
          </cell>
        </row>
        <row r="360">
          <cell r="A360">
            <v>45382</v>
          </cell>
          <cell r="K360">
            <v>2707.4353917111348</v>
          </cell>
        </row>
        <row r="361">
          <cell r="A361">
            <v>45412</v>
          </cell>
          <cell r="K361">
            <v>2696.7959716201995</v>
          </cell>
        </row>
        <row r="362">
          <cell r="A362">
            <v>45443</v>
          </cell>
          <cell r="K362">
            <v>2686.2276399960665</v>
          </cell>
        </row>
        <row r="363">
          <cell r="A363">
            <v>45473</v>
          </cell>
          <cell r="K363">
            <v>2675.7297260619739</v>
          </cell>
        </row>
        <row r="364">
          <cell r="A364">
            <v>45504</v>
          </cell>
          <cell r="K364">
            <v>2665.3015672207321</v>
          </cell>
        </row>
        <row r="365">
          <cell r="A365">
            <v>45535</v>
          </cell>
          <cell r="K365">
            <v>2654.942508931601</v>
          </cell>
        </row>
        <row r="366">
          <cell r="A366">
            <v>45565</v>
          </cell>
          <cell r="K366">
            <v>2644.6519045905134</v>
          </cell>
        </row>
        <row r="367">
          <cell r="A367">
            <v>45596</v>
          </cell>
          <cell r="K367">
            <v>2634.4291154119569</v>
          </cell>
        </row>
        <row r="368">
          <cell r="A368">
            <v>45626</v>
          </cell>
          <cell r="K368">
            <v>2624.2735103130804</v>
          </cell>
        </row>
        <row r="369">
          <cell r="A369">
            <v>45657</v>
          </cell>
          <cell r="K369">
            <v>2614.1844657996307</v>
          </cell>
        </row>
        <row r="370">
          <cell r="A370">
            <v>45688</v>
          </cell>
          <cell r="K370">
            <v>2604.1613658542155</v>
          </cell>
        </row>
        <row r="371">
          <cell r="A371">
            <v>45716</v>
          </cell>
          <cell r="K371">
            <v>2594.2036018261642</v>
          </cell>
        </row>
        <row r="372">
          <cell r="A372">
            <v>45747</v>
          </cell>
          <cell r="K372">
            <v>2584.3105723239496</v>
          </cell>
        </row>
        <row r="373">
          <cell r="A373">
            <v>45777</v>
          </cell>
          <cell r="K373">
            <v>2574.4816831080288</v>
          </cell>
        </row>
        <row r="374">
          <cell r="A374">
            <v>45808</v>
          </cell>
          <cell r="K374">
            <v>2564.7163469878078</v>
          </cell>
        </row>
        <row r="375">
          <cell r="A375">
            <v>45838</v>
          </cell>
          <cell r="K375">
            <v>2555.0139837179368</v>
          </cell>
        </row>
        <row r="376">
          <cell r="A376">
            <v>45869</v>
          </cell>
          <cell r="K376">
            <v>2545.3740198981977</v>
          </cell>
        </row>
        <row r="377">
          <cell r="A377">
            <v>45900</v>
          </cell>
          <cell r="K377">
            <v>2535.7958888745748</v>
          </cell>
        </row>
        <row r="378">
          <cell r="A378">
            <v>45930</v>
          </cell>
          <cell r="K378">
            <v>2526.2790306413967</v>
          </cell>
        </row>
        <row r="379">
          <cell r="A379">
            <v>45961</v>
          </cell>
          <cell r="K379">
            <v>2516.8228917461033</v>
          </cell>
        </row>
        <row r="380">
          <cell r="A380">
            <v>45991</v>
          </cell>
          <cell r="K380">
            <v>2507.4269251952601</v>
          </cell>
        </row>
        <row r="381">
          <cell r="A381">
            <v>46022</v>
          </cell>
          <cell r="K381">
            <v>2498.0905903613084</v>
          </cell>
        </row>
        <row r="382">
          <cell r="A382">
            <v>46053</v>
          </cell>
          <cell r="K382">
            <v>2488.8133528932599</v>
          </cell>
        </row>
        <row r="383">
          <cell r="A383">
            <v>46081</v>
          </cell>
          <cell r="K383">
            <v>2479.594684625617</v>
          </cell>
        </row>
        <row r="384">
          <cell r="A384">
            <v>46112</v>
          </cell>
          <cell r="K384">
            <v>2470.434063491819</v>
          </cell>
        </row>
        <row r="385">
          <cell r="A385">
            <v>46142</v>
          </cell>
          <cell r="K385">
            <v>2461.3309734373393</v>
          </cell>
        </row>
        <row r="386">
          <cell r="A386">
            <v>46173</v>
          </cell>
          <cell r="K386">
            <v>2452.2849043348965</v>
          </cell>
        </row>
        <row r="387">
          <cell r="A387">
            <v>46203</v>
          </cell>
          <cell r="K387">
            <v>2443.2953519010089</v>
          </cell>
        </row>
        <row r="388">
          <cell r="A388">
            <v>46234</v>
          </cell>
          <cell r="K388">
            <v>2434.3618176137197</v>
          </cell>
        </row>
        <row r="389">
          <cell r="A389">
            <v>46265</v>
          </cell>
          <cell r="K389">
            <v>2425.4838086320206</v>
          </cell>
        </row>
        <row r="390">
          <cell r="A390">
            <v>46295</v>
          </cell>
          <cell r="K390">
            <v>2416.6608377168673</v>
          </cell>
        </row>
        <row r="391">
          <cell r="A391">
            <v>46326</v>
          </cell>
          <cell r="K391">
            <v>2407.8924231523015</v>
          </cell>
        </row>
        <row r="392">
          <cell r="A392">
            <v>46356</v>
          </cell>
          <cell r="K392">
            <v>2399.1780886691877</v>
          </cell>
        </row>
        <row r="393">
          <cell r="A393">
            <v>46387</v>
          </cell>
          <cell r="K393">
            <v>2390.5173633697304</v>
          </cell>
        </row>
        <row r="394">
          <cell r="A394">
            <v>46418</v>
          </cell>
          <cell r="K394">
            <v>2381.9097816531789</v>
          </cell>
        </row>
        <row r="395">
          <cell r="A395">
            <v>46446</v>
          </cell>
          <cell r="K395">
            <v>2373.3548831421949</v>
          </cell>
        </row>
        <row r="396">
          <cell r="A396">
            <v>46477</v>
          </cell>
          <cell r="K396">
            <v>2364.8522126122111</v>
          </cell>
        </row>
        <row r="397">
          <cell r="A397">
            <v>46507</v>
          </cell>
          <cell r="K397">
            <v>2356.40131991915</v>
          </cell>
        </row>
        <row r="398">
          <cell r="A398">
            <v>46538</v>
          </cell>
          <cell r="K398">
            <v>2348.0017599315192</v>
          </cell>
        </row>
        <row r="399">
          <cell r="A399">
            <v>46568</v>
          </cell>
          <cell r="K399">
            <v>2339.6530924608542</v>
          </cell>
        </row>
        <row r="400">
          <cell r="A400">
            <v>46599</v>
          </cell>
          <cell r="K400">
            <v>2331.354882194591</v>
          </cell>
        </row>
        <row r="401">
          <cell r="A401">
            <v>46630</v>
          </cell>
          <cell r="K401">
            <v>2323.1066986303986</v>
          </cell>
        </row>
        <row r="402">
          <cell r="A402">
            <v>46660</v>
          </cell>
          <cell r="K402">
            <v>2314.9081160101623</v>
          </cell>
        </row>
        <row r="403">
          <cell r="A403">
            <v>46691</v>
          </cell>
          <cell r="K403">
            <v>2306.7587132570361</v>
          </cell>
        </row>
        <row r="404">
          <cell r="A404">
            <v>46721</v>
          </cell>
          <cell r="K404">
            <v>2298.6580739109595</v>
          </cell>
        </row>
        <row r="405">
          <cell r="A405">
            <v>46752</v>
          </cell>
          <cell r="K405">
            <v>2290.6057860678216</v>
          </cell>
        </row>
        <row r="406">
          <cell r="A406">
            <v>46783</v>
          </cell>
          <cell r="K406">
            <v>2282.6014423176111</v>
          </cell>
        </row>
        <row r="407">
          <cell r="A407">
            <v>46812</v>
          </cell>
          <cell r="K407">
            <v>2274.644639684408</v>
          </cell>
        </row>
        <row r="408">
          <cell r="A408">
            <v>46843</v>
          </cell>
          <cell r="K408">
            <v>2266.7349795675536</v>
          </cell>
        </row>
        <row r="409">
          <cell r="A409">
            <v>46873</v>
          </cell>
          <cell r="K409">
            <v>2258.8720676832545</v>
          </cell>
        </row>
        <row r="410">
          <cell r="A410">
            <v>46904</v>
          </cell>
          <cell r="K410">
            <v>2251.0555140068814</v>
          </cell>
        </row>
        <row r="411">
          <cell r="A411">
            <v>46934</v>
          </cell>
          <cell r="K411">
            <v>2243.284932717203</v>
          </cell>
        </row>
        <row r="412">
          <cell r="A412">
            <v>46965</v>
          </cell>
          <cell r="K412">
            <v>2235.5599421405072</v>
          </cell>
        </row>
        <row r="413">
          <cell r="A413">
            <v>46996</v>
          </cell>
          <cell r="K413">
            <v>2227.8801646958636</v>
          </cell>
        </row>
        <row r="414">
          <cell r="A414">
            <v>47026</v>
          </cell>
          <cell r="K414">
            <v>2220.2452268414136</v>
          </cell>
        </row>
        <row r="415">
          <cell r="A415">
            <v>47057</v>
          </cell>
          <cell r="K415">
            <v>2212.6547590216846</v>
          </cell>
        </row>
        <row r="416">
          <cell r="A416">
            <v>47087</v>
          </cell>
          <cell r="K416">
            <v>2205.1083956148423</v>
          </cell>
        </row>
        <row r="417">
          <cell r="A417">
            <v>47118</v>
          </cell>
          <cell r="K417">
            <v>2197.6057748818457</v>
          </cell>
        </row>
        <row r="418">
          <cell r="A418">
            <v>47149</v>
          </cell>
          <cell r="K418">
            <v>2190.1465389157329</v>
          </cell>
        </row>
        <row r="419">
          <cell r="A419">
            <v>47177</v>
          </cell>
          <cell r="K419">
            <v>2182.730333592363</v>
          </cell>
        </row>
        <row r="420">
          <cell r="A420">
            <v>47208</v>
          </cell>
          <cell r="K420">
            <v>2175.3568085198885</v>
          </cell>
        </row>
        <row r="421">
          <cell r="A421">
            <v>47238</v>
          </cell>
          <cell r="K421">
            <v>2168.0256169923809</v>
          </cell>
        </row>
        <row r="422">
          <cell r="A422">
            <v>47269</v>
          </cell>
          <cell r="K422">
            <v>2160.736415941411</v>
          </cell>
        </row>
        <row r="423">
          <cell r="A423">
            <v>47299</v>
          </cell>
          <cell r="K423">
            <v>2153.4888658891291</v>
          </cell>
        </row>
        <row r="424">
          <cell r="A424">
            <v>47330</v>
          </cell>
          <cell r="K424">
            <v>2146.2826309022194</v>
          </cell>
        </row>
        <row r="425">
          <cell r="A425">
            <v>47361</v>
          </cell>
          <cell r="K425">
            <v>2139.1173785474002</v>
          </cell>
        </row>
        <row r="426">
          <cell r="A426">
            <v>47391</v>
          </cell>
          <cell r="K426">
            <v>2131.9927798453814</v>
          </cell>
        </row>
        <row r="427">
          <cell r="A427">
            <v>47422</v>
          </cell>
          <cell r="K427">
            <v>2124.9085092279488</v>
          </cell>
        </row>
        <row r="428">
          <cell r="A428">
            <v>47452</v>
          </cell>
          <cell r="K428">
            <v>2117.8642444940215</v>
          </cell>
        </row>
        <row r="429">
          <cell r="A429">
            <v>47483</v>
          </cell>
          <cell r="K429">
            <v>2110.8596667671009</v>
          </cell>
        </row>
        <row r="430">
          <cell r="A430">
            <v>47514</v>
          </cell>
          <cell r="K430">
            <v>2103.8944604535673</v>
          </cell>
        </row>
        <row r="431">
          <cell r="A431">
            <v>47542</v>
          </cell>
          <cell r="K431">
            <v>2096.9683132007158</v>
          </cell>
        </row>
        <row r="432">
          <cell r="A432">
            <v>47573</v>
          </cell>
          <cell r="K432">
            <v>2090.0809158563625</v>
          </cell>
        </row>
        <row r="433">
          <cell r="A433">
            <v>47603</v>
          </cell>
          <cell r="K433">
            <v>2083.2319624280321</v>
          </cell>
        </row>
        <row r="434">
          <cell r="A434">
            <v>47634</v>
          </cell>
          <cell r="K434">
            <v>2076.4211500445235</v>
          </cell>
        </row>
        <row r="435">
          <cell r="A435">
            <v>47664</v>
          </cell>
          <cell r="K435">
            <v>2069.6481789157715</v>
          </cell>
        </row>
        <row r="436">
          <cell r="A436">
            <v>47695</v>
          </cell>
          <cell r="K436">
            <v>2062.9127522949375</v>
          </cell>
        </row>
        <row r="437">
          <cell r="A437">
            <v>47726</v>
          </cell>
          <cell r="K437">
            <v>2056.2145764405113</v>
          </cell>
        </row>
        <row r="438">
          <cell r="A438">
            <v>47756</v>
          </cell>
          <cell r="K438">
            <v>2049.5533605785786</v>
          </cell>
        </row>
        <row r="439">
          <cell r="A439">
            <v>47787</v>
          </cell>
          <cell r="K439">
            <v>1942.6659481310146</v>
          </cell>
        </row>
        <row r="440">
          <cell r="A440">
            <v>47817</v>
          </cell>
          <cell r="K440">
            <v>1936.4071160523993</v>
          </cell>
        </row>
        <row r="441">
          <cell r="A441">
            <v>47848</v>
          </cell>
          <cell r="K441">
            <v>1930.1825544134144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ke_Exp"/>
      <sheetName val="Mike_base"/>
      <sheetName val="2003 P10 Prod"/>
      <sheetName val="2003 P50 Prod"/>
      <sheetName val="2003 P50 Prod (2)"/>
      <sheetName val="2003 P90 Prod"/>
      <sheetName val="CAPEX P50"/>
      <sheetName val="CAPEX Cht"/>
      <sheetName val="P50 BOPD Cht"/>
      <sheetName val="P50 Cum Prod Cht"/>
      <sheetName val="P10-P50-P90_BOPD Cht"/>
      <sheetName val="P10-P50-P90_Cum Cht"/>
      <sheetName val="Old vs New FC "/>
      <sheetName val="GOR FC Cht"/>
      <sheetName val="2003 P50 Gas FCST"/>
      <sheetName val="SN Prod History"/>
      <sheetName val="Simulation data"/>
      <sheetName val="Water_2years"/>
      <sheetName val="P10-P50-P90_2years"/>
      <sheetName val="Smog_report"/>
      <sheetName val="Cashflow"/>
      <sheetName val="FDM"/>
    </sheetNames>
    <sheetDataSet>
      <sheetData sheetId="0" refreshError="1"/>
      <sheetData sheetId="1" refreshError="1"/>
      <sheetData sheetId="2"/>
      <sheetData sheetId="3"/>
      <sheetData sheetId="4"/>
      <sheetData sheetId="5" refreshError="1">
        <row r="41">
          <cell r="A41">
            <v>35673</v>
          </cell>
          <cell r="K41">
            <v>2532.4516129032259</v>
          </cell>
        </row>
        <row r="42">
          <cell r="A42">
            <v>35703</v>
          </cell>
          <cell r="K42">
            <v>4009.3</v>
          </cell>
        </row>
        <row r="43">
          <cell r="A43">
            <v>35734</v>
          </cell>
          <cell r="K43">
            <v>3957.7419354838707</v>
          </cell>
        </row>
        <row r="44">
          <cell r="A44">
            <v>35764</v>
          </cell>
          <cell r="K44">
            <v>3647.3333333333335</v>
          </cell>
        </row>
        <row r="45">
          <cell r="A45">
            <v>35795</v>
          </cell>
          <cell r="K45">
            <v>3430.4193548387098</v>
          </cell>
        </row>
        <row r="46">
          <cell r="A46">
            <v>35826</v>
          </cell>
          <cell r="K46">
            <v>4454.2258064516127</v>
          </cell>
        </row>
        <row r="47">
          <cell r="A47">
            <v>35854</v>
          </cell>
          <cell r="K47">
            <v>10605.071428571429</v>
          </cell>
        </row>
        <row r="48">
          <cell r="A48">
            <v>35885</v>
          </cell>
          <cell r="K48">
            <v>13825.709677419356</v>
          </cell>
        </row>
        <row r="49">
          <cell r="A49">
            <v>35915</v>
          </cell>
          <cell r="K49">
            <v>13440.033333333333</v>
          </cell>
        </row>
        <row r="50">
          <cell r="A50">
            <v>35946</v>
          </cell>
          <cell r="K50">
            <v>11245.677419354839</v>
          </cell>
        </row>
        <row r="51">
          <cell r="A51">
            <v>35976</v>
          </cell>
          <cell r="K51">
            <v>12670.666666666668</v>
          </cell>
        </row>
        <row r="52">
          <cell r="A52">
            <v>36007</v>
          </cell>
          <cell r="K52">
            <v>12213.516129032258</v>
          </cell>
        </row>
        <row r="53">
          <cell r="A53">
            <v>36038</v>
          </cell>
          <cell r="K53">
            <v>12115.064516129032</v>
          </cell>
        </row>
        <row r="54">
          <cell r="A54">
            <v>36068</v>
          </cell>
          <cell r="K54">
            <v>16952.366666666665</v>
          </cell>
        </row>
        <row r="55">
          <cell r="A55">
            <v>36099</v>
          </cell>
          <cell r="K55">
            <v>23066.806451612902</v>
          </cell>
        </row>
        <row r="56">
          <cell r="A56">
            <v>36129</v>
          </cell>
          <cell r="K56">
            <v>21265.666666666668</v>
          </cell>
        </row>
        <row r="57">
          <cell r="A57">
            <v>36160</v>
          </cell>
          <cell r="K57">
            <v>24893.645161290322</v>
          </cell>
        </row>
        <row r="58">
          <cell r="A58">
            <v>36191</v>
          </cell>
          <cell r="K58">
            <v>24710.967741935485</v>
          </cell>
        </row>
        <row r="59">
          <cell r="A59">
            <v>36219</v>
          </cell>
          <cell r="K59">
            <v>28000.607142857138</v>
          </cell>
        </row>
        <row r="60">
          <cell r="A60">
            <v>36250</v>
          </cell>
          <cell r="K60">
            <v>26660.838709677413</v>
          </cell>
        </row>
        <row r="61">
          <cell r="A61">
            <v>36280</v>
          </cell>
          <cell r="K61">
            <v>26295.7</v>
          </cell>
        </row>
        <row r="62">
          <cell r="A62">
            <v>36311</v>
          </cell>
          <cell r="K62">
            <v>25154.580645161292</v>
          </cell>
        </row>
        <row r="63">
          <cell r="A63">
            <v>36341</v>
          </cell>
          <cell r="K63">
            <v>23867.73333333333</v>
          </cell>
        </row>
        <row r="64">
          <cell r="A64">
            <v>36372</v>
          </cell>
          <cell r="K64">
            <v>25372.741935483871</v>
          </cell>
        </row>
        <row r="65">
          <cell r="A65">
            <v>36403</v>
          </cell>
          <cell r="K65">
            <v>24888.354838709682</v>
          </cell>
        </row>
        <row r="66">
          <cell r="A66">
            <v>36433</v>
          </cell>
          <cell r="K66">
            <v>19862.166666666664</v>
          </cell>
        </row>
        <row r="67">
          <cell r="A67">
            <v>36464</v>
          </cell>
          <cell r="K67">
            <v>23516.032258064515</v>
          </cell>
        </row>
        <row r="68">
          <cell r="A68">
            <v>36494</v>
          </cell>
          <cell r="K68">
            <v>24582.466666666667</v>
          </cell>
        </row>
        <row r="69">
          <cell r="A69">
            <v>36525</v>
          </cell>
          <cell r="K69">
            <v>22788.967741935488</v>
          </cell>
        </row>
        <row r="70">
          <cell r="A70">
            <v>36556</v>
          </cell>
          <cell r="K70">
            <v>24108.83870967742</v>
          </cell>
        </row>
        <row r="71">
          <cell r="A71">
            <v>36585</v>
          </cell>
          <cell r="K71">
            <v>24222</v>
          </cell>
        </row>
        <row r="72">
          <cell r="A72">
            <v>36616</v>
          </cell>
          <cell r="K72">
            <v>27525.451612903224</v>
          </cell>
        </row>
        <row r="73">
          <cell r="A73">
            <v>36646</v>
          </cell>
          <cell r="K73">
            <v>26188.9</v>
          </cell>
        </row>
        <row r="74">
          <cell r="A74">
            <v>36677</v>
          </cell>
          <cell r="K74">
            <v>26733.870967741932</v>
          </cell>
        </row>
        <row r="75">
          <cell r="A75">
            <v>36707</v>
          </cell>
          <cell r="K75">
            <v>30280.1</v>
          </cell>
        </row>
        <row r="76">
          <cell r="A76">
            <v>36738</v>
          </cell>
          <cell r="K76">
            <v>30424.16129032258</v>
          </cell>
        </row>
        <row r="77">
          <cell r="A77">
            <v>36769</v>
          </cell>
          <cell r="K77">
            <v>28454.612903225807</v>
          </cell>
        </row>
        <row r="78">
          <cell r="A78">
            <v>36799</v>
          </cell>
          <cell r="K78">
            <v>26812.7</v>
          </cell>
        </row>
        <row r="79">
          <cell r="A79">
            <v>36830</v>
          </cell>
          <cell r="K79">
            <v>27637.838709677417</v>
          </cell>
        </row>
        <row r="80">
          <cell r="A80">
            <v>36860</v>
          </cell>
          <cell r="K80">
            <v>26942.366666666669</v>
          </cell>
        </row>
        <row r="81">
          <cell r="A81">
            <v>36891</v>
          </cell>
          <cell r="K81">
            <v>26693.096774193546</v>
          </cell>
        </row>
        <row r="82">
          <cell r="A82">
            <v>36922</v>
          </cell>
          <cell r="K82">
            <v>27586.806451612905</v>
          </cell>
        </row>
        <row r="83">
          <cell r="A83">
            <v>36950</v>
          </cell>
          <cell r="K83">
            <v>27091.28571428571</v>
          </cell>
        </row>
        <row r="84">
          <cell r="A84">
            <v>36981</v>
          </cell>
          <cell r="K84">
            <v>27591.806451612909</v>
          </cell>
        </row>
        <row r="85">
          <cell r="A85">
            <v>37011</v>
          </cell>
          <cell r="K85">
            <v>26899.033333333329</v>
          </cell>
        </row>
        <row r="86">
          <cell r="A86">
            <v>37042</v>
          </cell>
          <cell r="K86">
            <v>25401.967741935485</v>
          </cell>
        </row>
        <row r="87">
          <cell r="A87">
            <v>37072</v>
          </cell>
          <cell r="K87">
            <v>24530.466666666667</v>
          </cell>
        </row>
        <row r="88">
          <cell r="A88">
            <v>37103</v>
          </cell>
          <cell r="K88">
            <v>23580.806451612905</v>
          </cell>
        </row>
        <row r="89">
          <cell r="A89">
            <v>37134</v>
          </cell>
          <cell r="K89">
            <v>24290.032258064515</v>
          </cell>
        </row>
        <row r="90">
          <cell r="A90">
            <v>37164</v>
          </cell>
          <cell r="K90">
            <v>23156.6</v>
          </cell>
        </row>
        <row r="91">
          <cell r="A91">
            <v>37195</v>
          </cell>
          <cell r="K91">
            <v>21956.387096774197</v>
          </cell>
        </row>
        <row r="92">
          <cell r="A92">
            <v>37225</v>
          </cell>
          <cell r="K92">
            <v>22798.466666666667</v>
          </cell>
        </row>
        <row r="93">
          <cell r="A93">
            <v>37256</v>
          </cell>
          <cell r="K93">
            <v>21840.806451612902</v>
          </cell>
        </row>
        <row r="94">
          <cell r="A94">
            <v>37287</v>
          </cell>
          <cell r="K94">
            <v>20973.225806451606</v>
          </cell>
        </row>
        <row r="95">
          <cell r="A95">
            <v>37315</v>
          </cell>
          <cell r="K95">
            <v>17669.678571428572</v>
          </cell>
        </row>
        <row r="96">
          <cell r="A96">
            <v>37346</v>
          </cell>
          <cell r="K96">
            <v>16988.354838709678</v>
          </cell>
        </row>
        <row r="97">
          <cell r="A97">
            <v>37376</v>
          </cell>
          <cell r="K97">
            <v>20061</v>
          </cell>
        </row>
        <row r="98">
          <cell r="A98">
            <v>37407</v>
          </cell>
          <cell r="K98">
            <v>20797.492062434838</v>
          </cell>
        </row>
        <row r="99">
          <cell r="A99">
            <v>37437</v>
          </cell>
          <cell r="K99">
            <v>20416.514657045496</v>
          </cell>
        </row>
        <row r="100">
          <cell r="A100">
            <v>37468</v>
          </cell>
          <cell r="K100">
            <v>20049.352122330441</v>
          </cell>
        </row>
        <row r="101">
          <cell r="A101">
            <v>37499</v>
          </cell>
          <cell r="K101">
            <v>19695.134903110273</v>
          </cell>
        </row>
        <row r="102">
          <cell r="A102">
            <v>37529</v>
          </cell>
          <cell r="K102">
            <v>22283.079453842554</v>
          </cell>
        </row>
        <row r="103">
          <cell r="A103">
            <v>37560</v>
          </cell>
          <cell r="K103">
            <v>24160.483098582095</v>
          </cell>
        </row>
        <row r="104">
          <cell r="A104">
            <v>37590</v>
          </cell>
          <cell r="K104">
            <v>23670.11738692873</v>
          </cell>
        </row>
        <row r="105">
          <cell r="A105">
            <v>37621</v>
          </cell>
          <cell r="K105">
            <v>23195.874512013746</v>
          </cell>
        </row>
        <row r="106">
          <cell r="A106">
            <v>37652</v>
          </cell>
          <cell r="K106">
            <v>22737.000372967494</v>
          </cell>
        </row>
        <row r="107">
          <cell r="A107">
            <v>37680</v>
          </cell>
          <cell r="K107">
            <v>22292.792591191148</v>
          </cell>
        </row>
        <row r="108">
          <cell r="A108">
            <v>37711</v>
          </cell>
          <cell r="K108">
            <v>21862.595266071279</v>
          </cell>
        </row>
        <row r="109">
          <cell r="A109">
            <v>37741</v>
          </cell>
          <cell r="K109">
            <v>21445.794457576732</v>
          </cell>
        </row>
        <row r="110">
          <cell r="A110">
            <v>37772</v>
          </cell>
          <cell r="K110">
            <v>21041.814270798313</v>
          </cell>
        </row>
        <row r="111">
          <cell r="A111">
            <v>37802</v>
          </cell>
          <cell r="K111">
            <v>20650.113442419442</v>
          </cell>
        </row>
        <row r="112">
          <cell r="A112">
            <v>37833</v>
          </cell>
          <cell r="K112">
            <v>20270.182348474686</v>
          </cell>
        </row>
        <row r="113">
          <cell r="A113">
            <v>37864</v>
          </cell>
          <cell r="K113">
            <v>19901.540367918031</v>
          </cell>
        </row>
        <row r="114">
          <cell r="A114">
            <v>37894</v>
          </cell>
          <cell r="K114">
            <v>19543.733548480181</v>
          </cell>
        </row>
        <row r="115">
          <cell r="A115">
            <v>37925</v>
          </cell>
          <cell r="K115">
            <v>19196.332530793657</v>
          </cell>
        </row>
        <row r="116">
          <cell r="A116">
            <v>37955</v>
          </cell>
          <cell r="K116">
            <v>18858.930694357721</v>
          </cell>
        </row>
        <row r="117">
          <cell r="A117">
            <v>37986</v>
          </cell>
          <cell r="K117">
            <v>18531.142495022945</v>
          </cell>
        </row>
        <row r="118">
          <cell r="A118">
            <v>38017</v>
          </cell>
          <cell r="K118">
            <v>18212.601968622745</v>
          </cell>
        </row>
        <row r="119">
          <cell r="A119">
            <v>38046</v>
          </cell>
          <cell r="K119">
            <v>17902.961379403525</v>
          </cell>
        </row>
        <row r="120">
          <cell r="A120">
            <v>38077</v>
          </cell>
          <cell r="K120">
            <v>17601.889995202568</v>
          </cell>
        </row>
        <row r="121">
          <cell r="A121">
            <v>38107</v>
          </cell>
          <cell r="K121">
            <v>17309.179664522555</v>
          </cell>
        </row>
        <row r="122">
          <cell r="A122">
            <v>38138</v>
          </cell>
          <cell r="K122">
            <v>17028.682448622309</v>
          </cell>
        </row>
        <row r="123">
          <cell r="A123">
            <v>38168</v>
          </cell>
          <cell r="K123">
            <v>16755.627029644274</v>
          </cell>
        </row>
        <row r="124">
          <cell r="A124">
            <v>38199</v>
          </cell>
          <cell r="K124">
            <v>16489.752978914643</v>
          </cell>
        </row>
        <row r="125">
          <cell r="A125">
            <v>38230</v>
          </cell>
          <cell r="K125">
            <v>16230.811389617265</v>
          </cell>
        </row>
        <row r="126">
          <cell r="A126">
            <v>38260</v>
          </cell>
          <cell r="K126">
            <v>15978.564215043589</v>
          </cell>
        </row>
        <row r="127">
          <cell r="A127">
            <v>38291</v>
          </cell>
          <cell r="K127">
            <v>15732.783657517861</v>
          </cell>
        </row>
        <row r="128">
          <cell r="A128">
            <v>38321</v>
          </cell>
          <cell r="K128">
            <v>15493.251602919132</v>
          </cell>
        </row>
        <row r="129">
          <cell r="A129">
            <v>38352</v>
          </cell>
          <cell r="K129">
            <v>15264.072772377856</v>
          </cell>
        </row>
        <row r="130">
          <cell r="A130">
            <v>38383</v>
          </cell>
          <cell r="K130">
            <v>15041.938763503393</v>
          </cell>
        </row>
        <row r="131">
          <cell r="A131">
            <v>38411</v>
          </cell>
          <cell r="K131">
            <v>14825.232945699483</v>
          </cell>
        </row>
        <row r="132">
          <cell r="A132">
            <v>38442</v>
          </cell>
          <cell r="K132">
            <v>14613.780226310229</v>
          </cell>
        </row>
        <row r="133">
          <cell r="A133">
            <v>38472</v>
          </cell>
          <cell r="K133">
            <v>14407.412473585198</v>
          </cell>
        </row>
        <row r="134">
          <cell r="A134">
            <v>38503</v>
          </cell>
          <cell r="K134">
            <v>14205.968172120447</v>
          </cell>
        </row>
        <row r="135">
          <cell r="A135">
            <v>38533</v>
          </cell>
          <cell r="K135">
            <v>14009.292100255569</v>
          </cell>
        </row>
        <row r="136">
          <cell r="A136">
            <v>38564</v>
          </cell>
          <cell r="K136">
            <v>13817.235027610044</v>
          </cell>
        </row>
        <row r="137">
          <cell r="A137">
            <v>38595</v>
          </cell>
          <cell r="K137">
            <v>13629.65343113097</v>
          </cell>
        </row>
        <row r="138">
          <cell r="A138">
            <v>38625</v>
          </cell>
          <cell r="K138">
            <v>13446.409228189117</v>
          </cell>
        </row>
        <row r="139">
          <cell r="A139">
            <v>38656</v>
          </cell>
          <cell r="K139">
            <v>13267.369525407077</v>
          </cell>
        </row>
        <row r="140">
          <cell r="A140">
            <v>38686</v>
          </cell>
          <cell r="K140">
            <v>13092.406382029072</v>
          </cell>
        </row>
        <row r="141">
          <cell r="A141">
            <v>38717</v>
          </cell>
          <cell r="K141">
            <v>12921.396586756759</v>
          </cell>
        </row>
        <row r="142">
          <cell r="A142">
            <v>38748</v>
          </cell>
          <cell r="K142">
            <v>12754.22144707663</v>
          </cell>
        </row>
        <row r="143">
          <cell r="A143">
            <v>38776</v>
          </cell>
          <cell r="K143">
            <v>12590.766590188894</v>
          </cell>
        </row>
        <row r="144">
          <cell r="A144">
            <v>38807</v>
          </cell>
          <cell r="K144">
            <v>12430.921774732498</v>
          </cell>
        </row>
        <row r="145">
          <cell r="A145">
            <v>38837</v>
          </cell>
          <cell r="K145">
            <v>12274.580712568099</v>
          </cell>
        </row>
        <row r="146">
          <cell r="A146">
            <v>38868</v>
          </cell>
          <cell r="K146">
            <v>12121.640899944015</v>
          </cell>
        </row>
        <row r="147">
          <cell r="A147">
            <v>38898</v>
          </cell>
          <cell r="K147">
            <v>11972.003457428411</v>
          </cell>
        </row>
        <row r="148">
          <cell r="A148">
            <v>38929</v>
          </cell>
          <cell r="K148">
            <v>11825.57297804022</v>
          </cell>
        </row>
        <row r="149">
          <cell r="A149">
            <v>38960</v>
          </cell>
          <cell r="K149">
            <v>11682.257383057929</v>
          </cell>
        </row>
        <row r="150">
          <cell r="A150">
            <v>38990</v>
          </cell>
          <cell r="K150">
            <v>11541.967785026553</v>
          </cell>
        </row>
        <row r="151">
          <cell r="A151">
            <v>39021</v>
          </cell>
          <cell r="K151">
            <v>11404.61835751857</v>
          </cell>
        </row>
        <row r="152">
          <cell r="A152">
            <v>39051</v>
          </cell>
          <cell r="K152">
            <v>11270.126211242577</v>
          </cell>
        </row>
        <row r="153">
          <cell r="A153">
            <v>39082</v>
          </cell>
          <cell r="K153">
            <v>11138.411276119157</v>
          </cell>
        </row>
        <row r="154">
          <cell r="A154">
            <v>39113</v>
          </cell>
          <cell r="K154">
            <v>11009.396188974571</v>
          </cell>
        </row>
        <row r="155">
          <cell r="A155">
            <v>39141</v>
          </cell>
          <cell r="K155">
            <v>10883.006186526989</v>
          </cell>
        </row>
        <row r="156">
          <cell r="A156">
            <v>39172</v>
          </cell>
          <cell r="K156">
            <v>10759.169003363089</v>
          </cell>
        </row>
        <row r="157">
          <cell r="A157">
            <v>39202</v>
          </cell>
          <cell r="K157">
            <v>10637.81477462488</v>
          </cell>
        </row>
        <row r="158">
          <cell r="A158">
            <v>39233</v>
          </cell>
          <cell r="K158">
            <v>10518.875943144689</v>
          </cell>
        </row>
        <row r="159">
          <cell r="A159">
            <v>39263</v>
          </cell>
          <cell r="K159">
            <v>10402.287170783915</v>
          </cell>
        </row>
        <row r="160">
          <cell r="A160">
            <v>39294</v>
          </cell>
          <cell r="K160">
            <v>10287.985253750216</v>
          </cell>
        </row>
        <row r="161">
          <cell r="A161">
            <v>39325</v>
          </cell>
          <cell r="K161">
            <v>10175.909041677633</v>
          </cell>
        </row>
        <row r="162">
          <cell r="A162">
            <v>39355</v>
          </cell>
          <cell r="K162">
            <v>10066.245327372724</v>
          </cell>
        </row>
        <row r="163">
          <cell r="A163">
            <v>39386</v>
          </cell>
          <cell r="K163">
            <v>9958.781335765354</v>
          </cell>
        </row>
        <row r="164">
          <cell r="A164">
            <v>39416</v>
          </cell>
          <cell r="K164">
            <v>9853.3549489855122</v>
          </cell>
        </row>
        <row r="165">
          <cell r="A165">
            <v>39447</v>
          </cell>
          <cell r="K165">
            <v>9749.9133079597104</v>
          </cell>
        </row>
        <row r="166">
          <cell r="A166">
            <v>39478</v>
          </cell>
          <cell r="K166">
            <v>9648.4052053675023</v>
          </cell>
        </row>
        <row r="167">
          <cell r="A167">
            <v>39507</v>
          </cell>
          <cell r="K167">
            <v>9548.7810266248816</v>
          </cell>
        </row>
        <row r="168">
          <cell r="A168">
            <v>39538</v>
          </cell>
          <cell r="K168">
            <v>9450.9926932483304</v>
          </cell>
        </row>
        <row r="169">
          <cell r="A169">
            <v>39568</v>
          </cell>
          <cell r="K169">
            <v>9354.9936084900819</v>
          </cell>
        </row>
        <row r="170">
          <cell r="A170">
            <v>39599</v>
          </cell>
          <cell r="K170">
            <v>9260.7386051414978</v>
          </cell>
        </row>
        <row r="171">
          <cell r="A171">
            <v>39629</v>
          </cell>
          <cell r="K171">
            <v>9168.1838954067352</v>
          </cell>
        </row>
        <row r="172">
          <cell r="A172">
            <v>39660</v>
          </cell>
          <cell r="K172">
            <v>9077.2870227537987</v>
          </cell>
        </row>
        <row r="173">
          <cell r="A173">
            <v>39691</v>
          </cell>
          <cell r="K173">
            <v>8988.0068156545221</v>
          </cell>
        </row>
        <row r="174">
          <cell r="A174">
            <v>39721</v>
          </cell>
          <cell r="K174">
            <v>8900.3033431312269</v>
          </cell>
        </row>
        <row r="175">
          <cell r="A175">
            <v>39752</v>
          </cell>
          <cell r="K175">
            <v>8814.1378720282701</v>
          </cell>
        </row>
        <row r="176">
          <cell r="A176">
            <v>39782</v>
          </cell>
          <cell r="K176">
            <v>8729.4728259362018</v>
          </cell>
        </row>
        <row r="177">
          <cell r="A177">
            <v>39813</v>
          </cell>
          <cell r="K177">
            <v>8646.2717456941045</v>
          </cell>
        </row>
        <row r="178">
          <cell r="A178">
            <v>39844</v>
          </cell>
          <cell r="K178">
            <v>8564.4992514029982</v>
          </cell>
        </row>
        <row r="179">
          <cell r="A179">
            <v>39872</v>
          </cell>
          <cell r="K179">
            <v>8484.121005886147</v>
          </cell>
        </row>
        <row r="180">
          <cell r="A180">
            <v>39903</v>
          </cell>
          <cell r="K180">
            <v>8405.1036795335422</v>
          </cell>
        </row>
        <row r="181">
          <cell r="A181">
            <v>39933</v>
          </cell>
          <cell r="K181">
            <v>8226.7913215960416</v>
          </cell>
        </row>
        <row r="182">
          <cell r="A182">
            <v>39964</v>
          </cell>
          <cell r="K182">
            <v>8151.1233559839211</v>
          </cell>
        </row>
        <row r="183">
          <cell r="A183">
            <v>39994</v>
          </cell>
          <cell r="K183">
            <v>8076.7132312519661</v>
          </cell>
        </row>
        <row r="184">
          <cell r="A184">
            <v>40025</v>
          </cell>
          <cell r="K184">
            <v>8003.5314726212227</v>
          </cell>
        </row>
        <row r="185">
          <cell r="A185">
            <v>40056</v>
          </cell>
          <cell r="K185">
            <v>7931.5494526086786</v>
          </cell>
        </row>
        <row r="186">
          <cell r="A186">
            <v>40086</v>
          </cell>
          <cell r="K186">
            <v>7860.7393631287978</v>
          </cell>
        </row>
        <row r="187">
          <cell r="A187">
            <v>40117</v>
          </cell>
          <cell r="K187">
            <v>7791.0741886191581</v>
          </cell>
        </row>
        <row r="188">
          <cell r="A188">
            <v>40147</v>
          </cell>
          <cell r="K188">
            <v>7722.5276801501477</v>
          </cell>
        </row>
        <row r="189">
          <cell r="A189">
            <v>40178</v>
          </cell>
          <cell r="K189">
            <v>7655.0743304763264</v>
          </cell>
        </row>
        <row r="190">
          <cell r="A190">
            <v>40209</v>
          </cell>
          <cell r="K190">
            <v>7588.6893499940415</v>
          </cell>
        </row>
        <row r="191">
          <cell r="A191">
            <v>40237</v>
          </cell>
          <cell r="K191">
            <v>7423.3168654513702</v>
          </cell>
        </row>
        <row r="192">
          <cell r="A192">
            <v>40268</v>
          </cell>
          <cell r="K192">
            <v>7360.0323733658715</v>
          </cell>
        </row>
        <row r="193">
          <cell r="A193">
            <v>40298</v>
          </cell>
          <cell r="K193">
            <v>7297.7278731572769</v>
          </cell>
        </row>
        <row r="194">
          <cell r="A194">
            <v>40329</v>
          </cell>
          <cell r="K194">
            <v>7236.3816650889012</v>
          </cell>
        </row>
        <row r="195">
          <cell r="A195">
            <v>40359</v>
          </cell>
          <cell r="K195">
            <v>7175.9726452992936</v>
          </cell>
        </row>
        <row r="196">
          <cell r="A196">
            <v>40390</v>
          </cell>
          <cell r="K196">
            <v>7116.4802870102085</v>
          </cell>
        </row>
        <row r="197">
          <cell r="A197">
            <v>40421</v>
          </cell>
          <cell r="K197">
            <v>7057.8846223935461</v>
          </cell>
        </row>
        <row r="198">
          <cell r="A198">
            <v>40451</v>
          </cell>
          <cell r="K198">
            <v>7000.1662250695263</v>
          </cell>
        </row>
        <row r="199">
          <cell r="A199">
            <v>40482</v>
          </cell>
          <cell r="K199">
            <v>6943.3061932134942</v>
          </cell>
        </row>
        <row r="200">
          <cell r="A200">
            <v>40512</v>
          </cell>
          <cell r="K200">
            <v>6887.2861332485163</v>
          </cell>
        </row>
        <row r="201">
          <cell r="A201">
            <v>40543</v>
          </cell>
          <cell r="K201">
            <v>6832.0881440998737</v>
          </cell>
        </row>
        <row r="202">
          <cell r="A202">
            <v>40574</v>
          </cell>
          <cell r="K202">
            <v>6777.6948019910396</v>
          </cell>
        </row>
        <row r="203">
          <cell r="A203">
            <v>40602</v>
          </cell>
          <cell r="K203">
            <v>6724.0891457621146</v>
          </cell>
        </row>
        <row r="204">
          <cell r="A204">
            <v>40633</v>
          </cell>
          <cell r="K204">
            <v>6671.2546626877238</v>
          </cell>
        </row>
        <row r="205">
          <cell r="A205">
            <v>40663</v>
          </cell>
          <cell r="K205">
            <v>6619.175274779167</v>
          </cell>
        </row>
        <row r="206">
          <cell r="A206">
            <v>40694</v>
          </cell>
          <cell r="K206">
            <v>6567.8353255508273</v>
          </cell>
        </row>
        <row r="207">
          <cell r="A207">
            <v>40724</v>
          </cell>
          <cell r="K207">
            <v>6517.2195672338948</v>
          </cell>
        </row>
        <row r="208">
          <cell r="A208">
            <v>40755</v>
          </cell>
          <cell r="K208">
            <v>6467.3131484209207</v>
          </cell>
        </row>
        <row r="209">
          <cell r="A209">
            <v>40786</v>
          </cell>
          <cell r="K209">
            <v>6418.1016021260766</v>
          </cell>
        </row>
        <row r="210">
          <cell r="A210">
            <v>40816</v>
          </cell>
          <cell r="K210">
            <v>6369.5708342441303</v>
          </cell>
        </row>
        <row r="211">
          <cell r="A211">
            <v>40847</v>
          </cell>
          <cell r="K211">
            <v>6321.7071123954038</v>
          </cell>
        </row>
        <row r="212">
          <cell r="A212">
            <v>40877</v>
          </cell>
          <cell r="K212">
            <v>6274.4970551413644</v>
          </cell>
        </row>
        <row r="213">
          <cell r="A213">
            <v>40908</v>
          </cell>
          <cell r="K213">
            <v>6227.9276215576028</v>
          </cell>
        </row>
        <row r="214">
          <cell r="A214">
            <v>40939</v>
          </cell>
          <cell r="K214">
            <v>6027.3985404414007</v>
          </cell>
        </row>
        <row r="215">
          <cell r="A215">
            <v>40968</v>
          </cell>
          <cell r="K215">
            <v>5986.5870034319323</v>
          </cell>
        </row>
        <row r="216">
          <cell r="A216">
            <v>40999</v>
          </cell>
          <cell r="K216">
            <v>5946.2424235085246</v>
          </cell>
        </row>
        <row r="217">
          <cell r="A217">
            <v>41029</v>
          </cell>
          <cell r="K217">
            <v>5906.3572847176802</v>
          </cell>
        </row>
        <row r="218">
          <cell r="A218">
            <v>41060</v>
          </cell>
          <cell r="K218">
            <v>5866.9242273651244</v>
          </cell>
        </row>
        <row r="219">
          <cell r="A219">
            <v>41090</v>
          </cell>
          <cell r="K219">
            <v>5827.93604402036</v>
          </cell>
        </row>
        <row r="220">
          <cell r="A220">
            <v>41121</v>
          </cell>
          <cell r="K220">
            <v>5789.3856756426349</v>
          </cell>
        </row>
        <row r="221">
          <cell r="A221">
            <v>41152</v>
          </cell>
          <cell r="K221">
            <v>5751.2662078244221</v>
          </cell>
        </row>
        <row r="222">
          <cell r="A222">
            <v>41182</v>
          </cell>
          <cell r="K222">
            <v>5713.5708671486254</v>
          </cell>
        </row>
        <row r="223">
          <cell r="A223">
            <v>41213</v>
          </cell>
          <cell r="K223">
            <v>5676.2930176539476</v>
          </cell>
        </row>
        <row r="224">
          <cell r="A224">
            <v>41243</v>
          </cell>
          <cell r="K224">
            <v>5639.4261574070151</v>
          </cell>
        </row>
        <row r="225">
          <cell r="A225">
            <v>41274</v>
          </cell>
          <cell r="K225">
            <v>5602.9639151753809</v>
          </cell>
        </row>
        <row r="226">
          <cell r="A226">
            <v>41305</v>
          </cell>
          <cell r="K226">
            <v>5566.9000471991094</v>
          </cell>
        </row>
        <row r="227">
          <cell r="A227">
            <v>41333</v>
          </cell>
          <cell r="K227">
            <v>5531.2284340575916</v>
          </cell>
        </row>
        <row r="228">
          <cell r="A228">
            <v>41364</v>
          </cell>
          <cell r="K228">
            <v>5495.9430776272038</v>
          </cell>
        </row>
        <row r="229">
          <cell r="A229">
            <v>41394</v>
          </cell>
          <cell r="K229">
            <v>5461.0380981282142</v>
          </cell>
        </row>
        <row r="230">
          <cell r="A230">
            <v>41425</v>
          </cell>
          <cell r="K230">
            <v>5426.5077312573403</v>
          </cell>
        </row>
        <row r="231">
          <cell r="A231">
            <v>41455</v>
          </cell>
          <cell r="K231">
            <v>5392.3463254018361</v>
          </cell>
        </row>
        <row r="232">
          <cell r="A232">
            <v>41486</v>
          </cell>
          <cell r="K232">
            <v>5358.5483389351575</v>
          </cell>
        </row>
        <row r="233">
          <cell r="A233">
            <v>41517</v>
          </cell>
          <cell r="K233">
            <v>5325.1083375884991</v>
          </cell>
        </row>
        <row r="234">
          <cell r="A234">
            <v>41547</v>
          </cell>
          <cell r="K234">
            <v>5292.0209918973096</v>
          </cell>
        </row>
        <row r="235">
          <cell r="A235">
            <v>41578</v>
          </cell>
          <cell r="K235">
            <v>5259.281074720684</v>
          </cell>
        </row>
        <row r="236">
          <cell r="A236">
            <v>41608</v>
          </cell>
          <cell r="K236">
            <v>5226.8834588295294</v>
          </cell>
        </row>
        <row r="237">
          <cell r="A237">
            <v>41639</v>
          </cell>
          <cell r="K237">
            <v>5194.8231145629079</v>
          </cell>
        </row>
        <row r="238">
          <cell r="A238">
            <v>41670</v>
          </cell>
          <cell r="K238">
            <v>5163.0951075499679</v>
          </cell>
        </row>
        <row r="239">
          <cell r="A239">
            <v>41698</v>
          </cell>
          <cell r="K239">
            <v>5131.6945964941642</v>
          </cell>
        </row>
        <row r="240">
          <cell r="A240">
            <v>41729</v>
          </cell>
          <cell r="K240">
            <v>5100.6168310195862</v>
          </cell>
        </row>
        <row r="241">
          <cell r="A241">
            <v>41759</v>
          </cell>
          <cell r="K241">
            <v>5069.8571495763754</v>
          </cell>
        </row>
        <row r="242">
          <cell r="A242">
            <v>41790</v>
          </cell>
          <cell r="K242">
            <v>5039.4109774027029</v>
          </cell>
        </row>
        <row r="243">
          <cell r="A243">
            <v>41820</v>
          </cell>
          <cell r="K243">
            <v>5009.2738245433384</v>
          </cell>
        </row>
        <row r="244">
          <cell r="A244">
            <v>41851</v>
          </cell>
          <cell r="K244">
            <v>4979.4412839208835</v>
          </cell>
        </row>
        <row r="245">
          <cell r="A245">
            <v>41882</v>
          </cell>
          <cell r="K245">
            <v>4949.9090294604466</v>
          </cell>
        </row>
        <row r="246">
          <cell r="A246">
            <v>41912</v>
          </cell>
          <cell r="K246">
            <v>4920.6728142632537</v>
          </cell>
        </row>
        <row r="247">
          <cell r="A247">
            <v>41943</v>
          </cell>
          <cell r="K247">
            <v>4891.7284688302279</v>
          </cell>
        </row>
        <row r="248">
          <cell r="A248">
            <v>41973</v>
          </cell>
          <cell r="K248">
            <v>4863.0718993320879</v>
          </cell>
        </row>
        <row r="249">
          <cell r="A249">
            <v>42004</v>
          </cell>
          <cell r="K249">
            <v>4834.6990859262505</v>
          </cell>
        </row>
        <row r="250">
          <cell r="A250">
            <v>42035</v>
          </cell>
          <cell r="K250">
            <v>4806.6060811170983</v>
          </cell>
        </row>
        <row r="251">
          <cell r="A251">
            <v>42063</v>
          </cell>
          <cell r="K251">
            <v>4778.7890081604855</v>
          </cell>
        </row>
        <row r="252">
          <cell r="A252">
            <v>42094</v>
          </cell>
          <cell r="K252">
            <v>4651.2191893999825</v>
          </cell>
        </row>
        <row r="253">
          <cell r="A253">
            <v>42124</v>
          </cell>
          <cell r="K253">
            <v>4624.5384241698275</v>
          </cell>
        </row>
        <row r="254">
          <cell r="A254">
            <v>42155</v>
          </cell>
          <cell r="K254">
            <v>4598.1163616810209</v>
          </cell>
        </row>
        <row r="255">
          <cell r="A255">
            <v>42185</v>
          </cell>
          <cell r="K255">
            <v>4571.9494782287675</v>
          </cell>
        </row>
        <row r="256">
          <cell r="A256">
            <v>42216</v>
          </cell>
          <cell r="K256">
            <v>4546.0343119280515</v>
          </cell>
        </row>
        <row r="257">
          <cell r="A257">
            <v>42247</v>
          </cell>
          <cell r="K257">
            <v>4520.3674613842759</v>
          </cell>
        </row>
        <row r="258">
          <cell r="A258">
            <v>42277</v>
          </cell>
          <cell r="K258">
            <v>4494.9455843983633</v>
          </cell>
        </row>
        <row r="259">
          <cell r="A259">
            <v>42308</v>
          </cell>
          <cell r="K259">
            <v>4469.7653967053429</v>
          </cell>
        </row>
        <row r="260">
          <cell r="A260">
            <v>42338</v>
          </cell>
          <cell r="K260">
            <v>4444.8236707426086</v>
          </cell>
        </row>
        <row r="261">
          <cell r="A261">
            <v>42369</v>
          </cell>
          <cell r="K261">
            <v>4420.1172344523093</v>
          </cell>
        </row>
        <row r="262">
          <cell r="A262">
            <v>42400</v>
          </cell>
          <cell r="K262">
            <v>4395.6429701109637</v>
          </cell>
        </row>
        <row r="263">
          <cell r="A263">
            <v>42429</v>
          </cell>
          <cell r="K263">
            <v>4371.3978131899639</v>
          </cell>
        </row>
        <row r="264">
          <cell r="A264">
            <v>42460</v>
          </cell>
          <cell r="K264">
            <v>4347.3787512442468</v>
          </cell>
        </row>
        <row r="265">
          <cell r="A265">
            <v>42490</v>
          </cell>
          <cell r="K265">
            <v>4323.5828228274995</v>
          </cell>
        </row>
        <row r="266">
          <cell r="A266">
            <v>42521</v>
          </cell>
          <cell r="K266">
            <v>4300.0071164356314</v>
          </cell>
        </row>
        <row r="267">
          <cell r="A267">
            <v>42551</v>
          </cell>
          <cell r="K267">
            <v>4276.6487694748594</v>
          </cell>
        </row>
        <row r="268">
          <cell r="A268">
            <v>42582</v>
          </cell>
          <cell r="K268">
            <v>4253.5049672560062</v>
          </cell>
        </row>
        <row r="269">
          <cell r="A269">
            <v>42613</v>
          </cell>
          <cell r="K269">
            <v>4230.5729420126836</v>
          </cell>
        </row>
        <row r="270">
          <cell r="A270">
            <v>42643</v>
          </cell>
          <cell r="K270">
            <v>4207.8499719437605</v>
          </cell>
        </row>
        <row r="271">
          <cell r="A271">
            <v>42674</v>
          </cell>
          <cell r="K271">
            <v>4185.3333802785801</v>
          </cell>
        </row>
        <row r="272">
          <cell r="A272">
            <v>42704</v>
          </cell>
          <cell r="K272">
            <v>4163.0205343653397</v>
          </cell>
        </row>
        <row r="273">
          <cell r="A273">
            <v>42735</v>
          </cell>
          <cell r="K273">
            <v>4140.9088447804324</v>
          </cell>
        </row>
        <row r="274">
          <cell r="A274">
            <v>42766</v>
          </cell>
          <cell r="K274">
            <v>4118.9957644599108</v>
          </cell>
        </row>
        <row r="275">
          <cell r="A275">
            <v>42794</v>
          </cell>
          <cell r="K275">
            <v>4097.27878785131</v>
          </cell>
        </row>
        <row r="276">
          <cell r="A276">
            <v>42825</v>
          </cell>
          <cell r="K276">
            <v>4075.7554500854285</v>
          </cell>
        </row>
        <row r="277">
          <cell r="A277">
            <v>42855</v>
          </cell>
          <cell r="K277">
            <v>4054.4233261678696</v>
          </cell>
        </row>
        <row r="278">
          <cell r="A278">
            <v>42886</v>
          </cell>
          <cell r="K278">
            <v>4033.2800301900606</v>
          </cell>
        </row>
        <row r="279">
          <cell r="A279">
            <v>42916</v>
          </cell>
          <cell r="K279">
            <v>4012.3232145573766</v>
          </cell>
        </row>
        <row r="280">
          <cell r="A280">
            <v>42947</v>
          </cell>
          <cell r="K280">
            <v>3991.5505692370034</v>
          </cell>
        </row>
        <row r="281">
          <cell r="A281">
            <v>42978</v>
          </cell>
          <cell r="K281">
            <v>3970.9598210223025</v>
          </cell>
        </row>
        <row r="282">
          <cell r="A282">
            <v>43008</v>
          </cell>
          <cell r="K282">
            <v>3950.5487328144145</v>
          </cell>
        </row>
        <row r="283">
          <cell r="A283">
            <v>43039</v>
          </cell>
          <cell r="K283">
            <v>3930.3151029202136</v>
          </cell>
        </row>
        <row r="284">
          <cell r="A284">
            <v>43069</v>
          </cell>
          <cell r="K284">
            <v>3910.2567643676302</v>
          </cell>
        </row>
        <row r="285">
          <cell r="A285">
            <v>43100</v>
          </cell>
          <cell r="K285">
            <v>3890.3715842345437</v>
          </cell>
        </row>
        <row r="286">
          <cell r="A286">
            <v>43131</v>
          </cell>
          <cell r="K286">
            <v>3870.6574629951292</v>
          </cell>
        </row>
        <row r="287">
          <cell r="A287">
            <v>43159</v>
          </cell>
          <cell r="K287">
            <v>3851.1123338796615</v>
          </cell>
        </row>
        <row r="288">
          <cell r="A288">
            <v>43190</v>
          </cell>
          <cell r="K288">
            <v>3831.7341622496097</v>
          </cell>
        </row>
        <row r="289">
          <cell r="A289">
            <v>43220</v>
          </cell>
          <cell r="K289">
            <v>3812.5209449864969</v>
          </cell>
        </row>
        <row r="290">
          <cell r="A290">
            <v>43251</v>
          </cell>
          <cell r="K290">
            <v>3793.4707098945546</v>
          </cell>
        </row>
        <row r="291">
          <cell r="A291">
            <v>43281</v>
          </cell>
          <cell r="K291">
            <v>3774.5815151167944</v>
          </cell>
        </row>
        <row r="292">
          <cell r="A292">
            <v>43312</v>
          </cell>
          <cell r="K292">
            <v>3755.8514485643641</v>
          </cell>
        </row>
        <row r="293">
          <cell r="A293">
            <v>43343</v>
          </cell>
          <cell r="K293">
            <v>3737.2786273582387</v>
          </cell>
        </row>
        <row r="294">
          <cell r="A294">
            <v>43373</v>
          </cell>
          <cell r="K294">
            <v>3718.8611972833992</v>
          </cell>
        </row>
        <row r="295">
          <cell r="A295">
            <v>43404</v>
          </cell>
          <cell r="K295">
            <v>3700.5973322553741</v>
          </cell>
        </row>
        <row r="296">
          <cell r="A296">
            <v>43434</v>
          </cell>
          <cell r="K296">
            <v>3682.485233798262</v>
          </cell>
        </row>
        <row r="297">
          <cell r="A297">
            <v>43465</v>
          </cell>
          <cell r="K297">
            <v>3664.5231305340458</v>
          </cell>
        </row>
        <row r="298">
          <cell r="A298">
            <v>43496</v>
          </cell>
          <cell r="K298">
            <v>3646.7092776836862</v>
          </cell>
        </row>
        <row r="299">
          <cell r="A299">
            <v>43524</v>
          </cell>
          <cell r="K299">
            <v>3629.0419565784123</v>
          </cell>
        </row>
        <row r="300">
          <cell r="A300">
            <v>43555</v>
          </cell>
          <cell r="K300">
            <v>3611.5194741818059</v>
          </cell>
        </row>
        <row r="301">
          <cell r="A301">
            <v>43585</v>
          </cell>
          <cell r="K301">
            <v>3594.1401626227321</v>
          </cell>
        </row>
        <row r="302">
          <cell r="A302">
            <v>43616</v>
          </cell>
          <cell r="K302">
            <v>3576.9023787379524</v>
          </cell>
        </row>
        <row r="303">
          <cell r="A303">
            <v>43646</v>
          </cell>
          <cell r="K303">
            <v>3559.8045036242247</v>
          </cell>
        </row>
        <row r="304">
          <cell r="A304">
            <v>43677</v>
          </cell>
          <cell r="K304">
            <v>3542.8449422005069</v>
          </cell>
        </row>
        <row r="305">
          <cell r="A305">
            <v>43708</v>
          </cell>
          <cell r="K305">
            <v>3425.9214061632679</v>
          </cell>
        </row>
        <row r="306">
          <cell r="A306">
            <v>43738</v>
          </cell>
          <cell r="K306">
            <v>3410.0342616734779</v>
          </cell>
        </row>
        <row r="307">
          <cell r="A307">
            <v>43769</v>
          </cell>
          <cell r="K307">
            <v>3394.2724826095155</v>
          </cell>
        </row>
        <row r="308">
          <cell r="A308">
            <v>43799</v>
          </cell>
          <cell r="K308">
            <v>3378.6346706951872</v>
          </cell>
        </row>
        <row r="309">
          <cell r="A309">
            <v>43830</v>
          </cell>
          <cell r="K309">
            <v>3363.1194478281277</v>
          </cell>
        </row>
        <row r="310">
          <cell r="A310">
            <v>43861</v>
          </cell>
          <cell r="K310">
            <v>3347.725455721953</v>
          </cell>
        </row>
        <row r="311">
          <cell r="A311">
            <v>43890</v>
          </cell>
          <cell r="K311">
            <v>3332.451355556917</v>
          </cell>
        </row>
        <row r="312">
          <cell r="A312">
            <v>43921</v>
          </cell>
          <cell r="K312">
            <v>3317.2958276370409</v>
          </cell>
        </row>
        <row r="313">
          <cell r="A313">
            <v>43951</v>
          </cell>
          <cell r="K313">
            <v>3302.2575710547803</v>
          </cell>
        </row>
        <row r="314">
          <cell r="A314">
            <v>43982</v>
          </cell>
          <cell r="K314">
            <v>3287.3353033627372</v>
          </cell>
        </row>
        <row r="315">
          <cell r="A315">
            <v>44012</v>
          </cell>
          <cell r="K315">
            <v>3272.5277602521192</v>
          </cell>
        </row>
        <row r="316">
          <cell r="A316">
            <v>44043</v>
          </cell>
          <cell r="K316">
            <v>3257.8336952372756</v>
          </cell>
        </row>
        <row r="317">
          <cell r="A317">
            <v>44074</v>
          </cell>
          <cell r="K317">
            <v>3243.2518793480858</v>
          </cell>
        </row>
        <row r="318">
          <cell r="A318">
            <v>44104</v>
          </cell>
          <cell r="K318">
            <v>3228.7811008269819</v>
          </cell>
        </row>
        <row r="319">
          <cell r="A319">
            <v>44135</v>
          </cell>
          <cell r="K319">
            <v>3214.4201648337275</v>
          </cell>
        </row>
        <row r="320">
          <cell r="A320">
            <v>44165</v>
          </cell>
          <cell r="K320">
            <v>3200.1678931547585</v>
          </cell>
        </row>
        <row r="321">
          <cell r="A321">
            <v>44196</v>
          </cell>
          <cell r="K321">
            <v>3186.0231239198847</v>
          </cell>
        </row>
        <row r="322">
          <cell r="A322">
            <v>44227</v>
          </cell>
          <cell r="K322">
            <v>3171.9847113236046</v>
          </cell>
        </row>
        <row r="323">
          <cell r="A323">
            <v>44255</v>
          </cell>
          <cell r="K323">
            <v>3158.0515253525791</v>
          </cell>
        </row>
        <row r="324">
          <cell r="A324">
            <v>44286</v>
          </cell>
          <cell r="K324">
            <v>3144.2224515182693</v>
          </cell>
        </row>
        <row r="325">
          <cell r="A325">
            <v>44316</v>
          </cell>
          <cell r="K325">
            <v>3130.4963905956261</v>
          </cell>
        </row>
        <row r="326">
          <cell r="A326">
            <v>44347</v>
          </cell>
          <cell r="K326">
            <v>3116.8722583658882</v>
          </cell>
        </row>
        <row r="327">
          <cell r="A327">
            <v>44377</v>
          </cell>
          <cell r="K327">
            <v>3103.3489853658571</v>
          </cell>
        </row>
        <row r="328">
          <cell r="A328">
            <v>44408</v>
          </cell>
          <cell r="K328">
            <v>3089.9255166405824</v>
          </cell>
        </row>
        <row r="329">
          <cell r="A329">
            <v>44439</v>
          </cell>
          <cell r="K329">
            <v>3076.6008115027103</v>
          </cell>
        </row>
        <row r="330">
          <cell r="A330">
            <v>44469</v>
          </cell>
          <cell r="K330">
            <v>3063.3738432950754</v>
          </cell>
        </row>
        <row r="331">
          <cell r="A331">
            <v>44500</v>
          </cell>
          <cell r="K331">
            <v>3050.2435991585803</v>
          </cell>
        </row>
        <row r="332">
          <cell r="A332">
            <v>44530</v>
          </cell>
          <cell r="K332">
            <v>3037.2090798048857</v>
          </cell>
        </row>
        <row r="333">
          <cell r="A333">
            <v>44561</v>
          </cell>
          <cell r="K333">
            <v>3024.2692992932775</v>
          </cell>
        </row>
        <row r="334">
          <cell r="A334">
            <v>44592</v>
          </cell>
          <cell r="K334">
            <v>3011.4232848114702</v>
          </cell>
        </row>
        <row r="335">
          <cell r="A335">
            <v>44620</v>
          </cell>
          <cell r="K335">
            <v>2998.6700764615889</v>
          </cell>
        </row>
        <row r="336">
          <cell r="A336">
            <v>44651</v>
          </cell>
          <cell r="K336">
            <v>2986.0087270494482</v>
          </cell>
        </row>
        <row r="337">
          <cell r="A337">
            <v>44681</v>
          </cell>
          <cell r="K337">
            <v>2973.4383018785024</v>
          </cell>
        </row>
        <row r="338">
          <cell r="A338">
            <v>44712</v>
          </cell>
          <cell r="K338">
            <v>2960.9578785471285</v>
          </cell>
        </row>
        <row r="339">
          <cell r="A339">
            <v>44742</v>
          </cell>
          <cell r="K339">
            <v>2948.5665467506351</v>
          </cell>
        </row>
        <row r="340">
          <cell r="A340">
            <v>44773</v>
          </cell>
          <cell r="K340">
            <v>2936.2634080862372</v>
          </cell>
        </row>
        <row r="341">
          <cell r="A341">
            <v>44804</v>
          </cell>
          <cell r="K341">
            <v>2924.0475758625253</v>
          </cell>
        </row>
        <row r="342">
          <cell r="A342">
            <v>44834</v>
          </cell>
          <cell r="K342">
            <v>2911.9181749112972</v>
          </cell>
        </row>
        <row r="343">
          <cell r="A343">
            <v>44865</v>
          </cell>
          <cell r="K343">
            <v>2899.8743414049809</v>
          </cell>
        </row>
        <row r="344">
          <cell r="A344">
            <v>44895</v>
          </cell>
          <cell r="K344">
            <v>2887.9152226755605</v>
          </cell>
        </row>
        <row r="345">
          <cell r="A345">
            <v>44926</v>
          </cell>
          <cell r="K345">
            <v>2876.0399770378403</v>
          </cell>
        </row>
        <row r="346">
          <cell r="A346">
            <v>44957</v>
          </cell>
          <cell r="K346">
            <v>2864.2477736159112</v>
          </cell>
        </row>
        <row r="347">
          <cell r="A347">
            <v>44985</v>
          </cell>
          <cell r="K347">
            <v>2852.5377921728132</v>
          </cell>
        </row>
        <row r="348">
          <cell r="A348">
            <v>45016</v>
          </cell>
          <cell r="K348">
            <v>2840.909222943646</v>
          </cell>
        </row>
        <row r="349">
          <cell r="A349">
            <v>45046</v>
          </cell>
          <cell r="K349">
            <v>2829.3612664711845</v>
          </cell>
        </row>
        <row r="350">
          <cell r="A350">
            <v>45077</v>
          </cell>
          <cell r="K350">
            <v>2817.8931334450558</v>
          </cell>
        </row>
        <row r="351">
          <cell r="A351">
            <v>45107</v>
          </cell>
          <cell r="K351">
            <v>2806.5040445437767</v>
          </cell>
        </row>
        <row r="352">
          <cell r="A352">
            <v>45138</v>
          </cell>
          <cell r="K352">
            <v>2795.1932302796804</v>
          </cell>
        </row>
        <row r="353">
          <cell r="A353">
            <v>45169</v>
          </cell>
          <cell r="K353">
            <v>2783.9599308467168</v>
          </cell>
        </row>
        <row r="354">
          <cell r="A354">
            <v>45199</v>
          </cell>
          <cell r="K354">
            <v>2772.8033959709419</v>
          </cell>
        </row>
        <row r="355">
          <cell r="A355">
            <v>45230</v>
          </cell>
          <cell r="K355">
            <v>2761.722884763793</v>
          </cell>
        </row>
        <row r="356">
          <cell r="A356">
            <v>45260</v>
          </cell>
          <cell r="K356">
            <v>2750.717665578075</v>
          </cell>
        </row>
        <row r="357">
          <cell r="A357">
            <v>45291</v>
          </cell>
          <cell r="K357">
            <v>2739.7870158668616</v>
          </cell>
        </row>
        <row r="358">
          <cell r="A358">
            <v>45322</v>
          </cell>
          <cell r="K358">
            <v>2728.9302220441391</v>
          </cell>
        </row>
        <row r="359">
          <cell r="A359">
            <v>45351</v>
          </cell>
          <cell r="K359">
            <v>2718.1465793489942</v>
          </cell>
        </row>
        <row r="360">
          <cell r="A360">
            <v>45382</v>
          </cell>
          <cell r="K360">
            <v>2707.4353917111348</v>
          </cell>
        </row>
        <row r="361">
          <cell r="A361">
            <v>45412</v>
          </cell>
          <cell r="K361">
            <v>2696.7959716201995</v>
          </cell>
        </row>
        <row r="362">
          <cell r="A362">
            <v>45443</v>
          </cell>
          <cell r="K362">
            <v>2686.2276399960665</v>
          </cell>
        </row>
        <row r="363">
          <cell r="A363">
            <v>45473</v>
          </cell>
          <cell r="K363">
            <v>2675.7297260619739</v>
          </cell>
        </row>
        <row r="364">
          <cell r="A364">
            <v>45504</v>
          </cell>
          <cell r="K364">
            <v>2665.3015672207321</v>
          </cell>
        </row>
        <row r="365">
          <cell r="A365">
            <v>45535</v>
          </cell>
          <cell r="K365">
            <v>2654.942508931601</v>
          </cell>
        </row>
        <row r="366">
          <cell r="A366">
            <v>45565</v>
          </cell>
          <cell r="K366">
            <v>2644.6519045905134</v>
          </cell>
        </row>
        <row r="367">
          <cell r="A367">
            <v>45596</v>
          </cell>
          <cell r="K367">
            <v>2634.4291154119569</v>
          </cell>
        </row>
        <row r="368">
          <cell r="A368">
            <v>45626</v>
          </cell>
          <cell r="K368">
            <v>2624.2735103130804</v>
          </cell>
        </row>
        <row r="369">
          <cell r="A369">
            <v>45657</v>
          </cell>
          <cell r="K369">
            <v>2614.1844657996307</v>
          </cell>
        </row>
        <row r="370">
          <cell r="A370">
            <v>45688</v>
          </cell>
          <cell r="K370">
            <v>2604.1613658542155</v>
          </cell>
        </row>
        <row r="371">
          <cell r="A371">
            <v>45716</v>
          </cell>
          <cell r="K371">
            <v>2594.2036018261642</v>
          </cell>
        </row>
        <row r="372">
          <cell r="A372">
            <v>45747</v>
          </cell>
          <cell r="K372">
            <v>2584.3105723239496</v>
          </cell>
        </row>
        <row r="373">
          <cell r="A373">
            <v>45777</v>
          </cell>
          <cell r="K373">
            <v>2574.4816831080288</v>
          </cell>
        </row>
        <row r="374">
          <cell r="A374">
            <v>45808</v>
          </cell>
          <cell r="K374">
            <v>2564.7163469878078</v>
          </cell>
        </row>
        <row r="375">
          <cell r="A375">
            <v>45838</v>
          </cell>
          <cell r="K375">
            <v>2555.0139837179368</v>
          </cell>
        </row>
        <row r="376">
          <cell r="A376">
            <v>45869</v>
          </cell>
          <cell r="K376">
            <v>2545.3740198981977</v>
          </cell>
        </row>
        <row r="377">
          <cell r="A377">
            <v>45900</v>
          </cell>
          <cell r="K377">
            <v>2535.7958888745748</v>
          </cell>
        </row>
        <row r="378">
          <cell r="A378">
            <v>45930</v>
          </cell>
          <cell r="K378">
            <v>2526.2790306413967</v>
          </cell>
        </row>
        <row r="379">
          <cell r="A379">
            <v>45961</v>
          </cell>
          <cell r="K379">
            <v>2516.8228917461033</v>
          </cell>
        </row>
        <row r="380">
          <cell r="A380">
            <v>45991</v>
          </cell>
          <cell r="K380">
            <v>2507.4269251952601</v>
          </cell>
        </row>
        <row r="381">
          <cell r="A381">
            <v>46022</v>
          </cell>
          <cell r="K381">
            <v>2498.0905903613084</v>
          </cell>
        </row>
        <row r="382">
          <cell r="A382">
            <v>46053</v>
          </cell>
          <cell r="K382">
            <v>2488.8133528932599</v>
          </cell>
        </row>
        <row r="383">
          <cell r="A383">
            <v>46081</v>
          </cell>
          <cell r="K383">
            <v>2479.594684625617</v>
          </cell>
        </row>
        <row r="384">
          <cell r="A384">
            <v>46112</v>
          </cell>
          <cell r="K384">
            <v>2470.434063491819</v>
          </cell>
        </row>
        <row r="385">
          <cell r="A385">
            <v>46142</v>
          </cell>
          <cell r="K385">
            <v>2461.3309734373393</v>
          </cell>
        </row>
        <row r="386">
          <cell r="A386">
            <v>46173</v>
          </cell>
          <cell r="K386">
            <v>2452.2849043348965</v>
          </cell>
        </row>
        <row r="387">
          <cell r="A387">
            <v>46203</v>
          </cell>
          <cell r="K387">
            <v>2443.2953519010089</v>
          </cell>
        </row>
        <row r="388">
          <cell r="A388">
            <v>46234</v>
          </cell>
          <cell r="K388">
            <v>2434.3618176137197</v>
          </cell>
        </row>
        <row r="389">
          <cell r="A389">
            <v>46265</v>
          </cell>
          <cell r="K389">
            <v>2425.4838086320206</v>
          </cell>
        </row>
        <row r="390">
          <cell r="A390">
            <v>46295</v>
          </cell>
          <cell r="K390">
            <v>2416.6608377168673</v>
          </cell>
        </row>
        <row r="391">
          <cell r="A391">
            <v>46326</v>
          </cell>
          <cell r="K391">
            <v>2407.8924231523015</v>
          </cell>
        </row>
        <row r="392">
          <cell r="A392">
            <v>46356</v>
          </cell>
          <cell r="K392">
            <v>2399.1780886691877</v>
          </cell>
        </row>
        <row r="393">
          <cell r="A393">
            <v>46387</v>
          </cell>
          <cell r="K393">
            <v>2390.5173633697304</v>
          </cell>
        </row>
        <row r="394">
          <cell r="A394">
            <v>46418</v>
          </cell>
          <cell r="K394">
            <v>2381.9097816531789</v>
          </cell>
        </row>
        <row r="395">
          <cell r="A395">
            <v>46446</v>
          </cell>
          <cell r="K395">
            <v>2373.3548831421949</v>
          </cell>
        </row>
        <row r="396">
          <cell r="A396">
            <v>46477</v>
          </cell>
          <cell r="K396">
            <v>2364.8522126122111</v>
          </cell>
        </row>
        <row r="397">
          <cell r="A397">
            <v>46507</v>
          </cell>
          <cell r="K397">
            <v>2356.40131991915</v>
          </cell>
        </row>
        <row r="398">
          <cell r="A398">
            <v>46538</v>
          </cell>
          <cell r="K398">
            <v>2348.0017599315192</v>
          </cell>
        </row>
        <row r="399">
          <cell r="A399">
            <v>46568</v>
          </cell>
          <cell r="K399">
            <v>2339.6530924608542</v>
          </cell>
        </row>
        <row r="400">
          <cell r="A400">
            <v>46599</v>
          </cell>
          <cell r="K400">
            <v>2331.354882194591</v>
          </cell>
        </row>
        <row r="401">
          <cell r="A401">
            <v>46630</v>
          </cell>
          <cell r="K401">
            <v>2323.1066986303986</v>
          </cell>
        </row>
        <row r="402">
          <cell r="A402">
            <v>46660</v>
          </cell>
          <cell r="K402">
            <v>2314.9081160101623</v>
          </cell>
        </row>
        <row r="403">
          <cell r="A403">
            <v>46691</v>
          </cell>
          <cell r="K403">
            <v>2306.7587132570361</v>
          </cell>
        </row>
        <row r="404">
          <cell r="A404">
            <v>46721</v>
          </cell>
          <cell r="K404">
            <v>2298.6580739109595</v>
          </cell>
        </row>
        <row r="405">
          <cell r="A405">
            <v>46752</v>
          </cell>
          <cell r="K405">
            <v>2290.6057860678216</v>
          </cell>
        </row>
        <row r="406">
          <cell r="A406">
            <v>46783</v>
          </cell>
          <cell r="K406">
            <v>2282.6014423176111</v>
          </cell>
        </row>
        <row r="407">
          <cell r="A407">
            <v>46812</v>
          </cell>
          <cell r="K407">
            <v>2274.644639684408</v>
          </cell>
        </row>
        <row r="408">
          <cell r="A408">
            <v>46843</v>
          </cell>
          <cell r="K408">
            <v>2266.7349795675536</v>
          </cell>
        </row>
        <row r="409">
          <cell r="A409">
            <v>46873</v>
          </cell>
          <cell r="K409">
            <v>2258.8720676832545</v>
          </cell>
        </row>
        <row r="410">
          <cell r="A410">
            <v>46904</v>
          </cell>
          <cell r="K410">
            <v>2251.0555140068814</v>
          </cell>
        </row>
        <row r="411">
          <cell r="A411">
            <v>46934</v>
          </cell>
          <cell r="K411">
            <v>2243.284932717203</v>
          </cell>
        </row>
        <row r="412">
          <cell r="A412">
            <v>46965</v>
          </cell>
          <cell r="K412">
            <v>2235.5599421405072</v>
          </cell>
        </row>
        <row r="413">
          <cell r="A413">
            <v>46996</v>
          </cell>
          <cell r="K413">
            <v>2227.8801646958636</v>
          </cell>
        </row>
        <row r="414">
          <cell r="A414">
            <v>47026</v>
          </cell>
          <cell r="K414">
            <v>2220.2452268414136</v>
          </cell>
        </row>
        <row r="415">
          <cell r="A415">
            <v>47057</v>
          </cell>
          <cell r="K415">
            <v>2212.6547590216846</v>
          </cell>
        </row>
        <row r="416">
          <cell r="A416">
            <v>47087</v>
          </cell>
          <cell r="K416">
            <v>2205.1083956148423</v>
          </cell>
        </row>
        <row r="417">
          <cell r="A417">
            <v>47118</v>
          </cell>
          <cell r="K417">
            <v>2197.6057748818457</v>
          </cell>
        </row>
        <row r="418">
          <cell r="A418">
            <v>47149</v>
          </cell>
          <cell r="K418">
            <v>2190.1465389157329</v>
          </cell>
        </row>
        <row r="419">
          <cell r="A419">
            <v>47177</v>
          </cell>
          <cell r="K419">
            <v>2182.730333592363</v>
          </cell>
        </row>
        <row r="420">
          <cell r="A420">
            <v>47208</v>
          </cell>
          <cell r="K420">
            <v>2175.3568085198885</v>
          </cell>
        </row>
        <row r="421">
          <cell r="A421">
            <v>47238</v>
          </cell>
          <cell r="K421">
            <v>2168.0256169923809</v>
          </cell>
        </row>
        <row r="422">
          <cell r="A422">
            <v>47269</v>
          </cell>
          <cell r="K422">
            <v>2160.736415941411</v>
          </cell>
        </row>
        <row r="423">
          <cell r="A423">
            <v>47299</v>
          </cell>
          <cell r="K423">
            <v>2153.4888658891291</v>
          </cell>
        </row>
        <row r="424">
          <cell r="A424">
            <v>47330</v>
          </cell>
          <cell r="K424">
            <v>2146.2826309022194</v>
          </cell>
        </row>
        <row r="425">
          <cell r="A425">
            <v>47361</v>
          </cell>
          <cell r="K425">
            <v>2139.1173785474002</v>
          </cell>
        </row>
        <row r="426">
          <cell r="A426">
            <v>47391</v>
          </cell>
          <cell r="K426">
            <v>2131.9927798453814</v>
          </cell>
        </row>
        <row r="427">
          <cell r="A427">
            <v>47422</v>
          </cell>
          <cell r="K427">
            <v>2124.9085092279488</v>
          </cell>
        </row>
        <row r="428">
          <cell r="A428">
            <v>47452</v>
          </cell>
          <cell r="K428">
            <v>2117.8642444940215</v>
          </cell>
        </row>
        <row r="429">
          <cell r="A429">
            <v>47483</v>
          </cell>
          <cell r="K429">
            <v>2110.8596667671009</v>
          </cell>
        </row>
        <row r="430">
          <cell r="A430">
            <v>47514</v>
          </cell>
          <cell r="K430">
            <v>2103.8944604535673</v>
          </cell>
        </row>
        <row r="431">
          <cell r="A431">
            <v>47542</v>
          </cell>
          <cell r="K431">
            <v>2096.9683132007158</v>
          </cell>
        </row>
        <row r="432">
          <cell r="A432">
            <v>47573</v>
          </cell>
          <cell r="K432">
            <v>2090.0809158563625</v>
          </cell>
        </row>
        <row r="433">
          <cell r="A433">
            <v>47603</v>
          </cell>
          <cell r="K433">
            <v>2083.2319624280321</v>
          </cell>
        </row>
        <row r="434">
          <cell r="A434">
            <v>47634</v>
          </cell>
          <cell r="K434">
            <v>2076.4211500445235</v>
          </cell>
        </row>
        <row r="435">
          <cell r="A435">
            <v>47664</v>
          </cell>
          <cell r="K435">
            <v>2069.6481789157715</v>
          </cell>
        </row>
        <row r="436">
          <cell r="A436">
            <v>47695</v>
          </cell>
          <cell r="K436">
            <v>2062.9127522949375</v>
          </cell>
        </row>
        <row r="437">
          <cell r="A437">
            <v>47726</v>
          </cell>
          <cell r="K437">
            <v>2056.2145764405113</v>
          </cell>
        </row>
        <row r="438">
          <cell r="A438">
            <v>47756</v>
          </cell>
          <cell r="K438">
            <v>2049.5533605785786</v>
          </cell>
        </row>
        <row r="439">
          <cell r="A439">
            <v>47787</v>
          </cell>
          <cell r="K439">
            <v>1942.6659481310146</v>
          </cell>
        </row>
        <row r="440">
          <cell r="A440">
            <v>47817</v>
          </cell>
          <cell r="K440">
            <v>1936.4071160523993</v>
          </cell>
        </row>
        <row r="441">
          <cell r="A441">
            <v>47848</v>
          </cell>
          <cell r="K441">
            <v>1930.1825544134144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"/>
      <sheetName val="Current"/>
      <sheetName val="Tax"/>
      <sheetName val="RS1"/>
      <sheetName val="RS2"/>
      <sheetName val="RS3"/>
      <sheetName val="RS4"/>
      <sheetName val="RS5"/>
      <sheetName val="RS6"/>
      <sheetName val="Prior"/>
      <sheetName val="Recon"/>
      <sheetName val="Summary"/>
      <sheetName val="Analysis"/>
      <sheetName val="Print Pages"/>
      <sheetName val="Basis &amp; Assum"/>
    </sheetNames>
    <sheetDataSet>
      <sheetData sheetId="0">
        <row r="3">
          <cell r="E3" t="str">
            <v>COPI</v>
          </cell>
        </row>
        <row r="4">
          <cell r="E4" t="str">
            <v>SOUTHERN AFRICA</v>
          </cell>
        </row>
        <row r="5">
          <cell r="E5" t="str">
            <v>ANGOLA</v>
          </cell>
        </row>
        <row r="7">
          <cell r="E7" t="str">
            <v>KOKONGO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s"/>
      <sheetName val="Cost TempLet"/>
      <sheetName val="BULKS ACCOUNTING"/>
      <sheetName val="WESCO BOM"/>
      <sheetName val="MISCELLANEOUS"/>
      <sheetName val="CABLE TRAY "/>
      <sheetName val="MECHANICAL"/>
      <sheetName val="CABLES &amp; LENGTH"/>
      <sheetName val="LIGHTING &amp; GROUNDING"/>
      <sheetName val="CABLES TERMINATORS"/>
      <sheetName val="Vendor Panels-Jbox"/>
      <sheetName val="BUILDINGS"/>
      <sheetName val="COMM. EQUIPMENT"/>
      <sheetName val="TAGGED INSTR."/>
      <sheetName val="HEATER PANELS"/>
      <sheetName val="PLC PANELS"/>
      <sheetName val="J-Box Vendor"/>
      <sheetName val="Autoclave"/>
      <sheetName val="SNem Ph 3 Electrical Bill of Ma"/>
      <sheetName val="Building Bloc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Breakdown"/>
      <sheetName val="Guidelines"/>
      <sheetName val="1aSSTB"/>
      <sheetName val="1aLH"/>
      <sheetName val="1bSSTB"/>
      <sheetName val="1bLH"/>
      <sheetName val="1cSSTB"/>
      <sheetName val="1cLH"/>
      <sheetName val="1dSSTB"/>
      <sheetName val="1dLH"/>
      <sheetName val="1eSSTB"/>
      <sheetName val="1eLH"/>
      <sheetName val="2aSSTB"/>
      <sheetName val="2aLH"/>
      <sheetName val="2bSSTB"/>
      <sheetName val="2bLH"/>
      <sheetName val="3aSSTB"/>
      <sheetName val="3aLH"/>
      <sheetName val="4aSSTB"/>
      <sheetName val="4aLH"/>
      <sheetName val="5aSSTB"/>
      <sheetName val="5aLH"/>
      <sheetName val="5bSSTB"/>
      <sheetName val="5bLH"/>
      <sheetName val="6aSSTB"/>
      <sheetName val="6aLH"/>
      <sheetName val="6bSSTB"/>
      <sheetName val="6bLH"/>
      <sheetName val="7SSTB"/>
      <sheetName val="7LH"/>
      <sheetName val="B1a-SSTB"/>
      <sheetName val="B1a-LH"/>
      <sheetName val="B2b-SSTB"/>
      <sheetName val="B2b-LH"/>
      <sheetName val="B2c-SSTB"/>
      <sheetName val="8cLH"/>
      <sheetName val="8eSSTB"/>
      <sheetName val="8eLH"/>
      <sheetName val="8dSSTB"/>
      <sheetName val="8dLH"/>
      <sheetName val="8fSSTB"/>
      <sheetName val="8fLH"/>
      <sheetName val="8gSSTB"/>
      <sheetName val="8gLH"/>
      <sheetName val="C-SSTB"/>
      <sheetName val="C-LH"/>
      <sheetName val="8aSSTB"/>
      <sheetName val="8bSSTB"/>
      <sheetName val="8cSSTB"/>
      <sheetName val="9SSTB"/>
      <sheetName val="2cLH"/>
      <sheetName val="6cLH"/>
      <sheetName val="8aLH"/>
      <sheetName val="8bLH"/>
      <sheetName val="9LH"/>
      <sheetName val="LIGHTING &amp; GROUNDING"/>
      <sheetName val="Labels"/>
      <sheetName val=""/>
    </sheetNames>
    <sheetDataSet>
      <sheetData sheetId="0"/>
      <sheetData sheetId="1">
        <row r="1">
          <cell r="A1" t="str">
            <v>Risk Ranges - Input Guidelines</v>
          </cell>
        </row>
        <row r="3">
          <cell r="A3" t="str">
            <v xml:space="preserve">Please note the following guidelines when determining risk ranges.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AL2"/>
    </sheetNames>
    <sheetDataSet>
      <sheetData sheetId="0">
        <row r="1">
          <cell r="A1" t="str">
            <v>read me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 Data Sheet 1"/>
      <sheetName val="Process Data Sheet 2"/>
      <sheetName val="Process Data 1"/>
    </sheetNames>
    <sheetDataSet>
      <sheetData sheetId="0"/>
      <sheetData sheetId="1"/>
      <sheetData sheetId="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SHEET "/>
      <sheetName val="Process Data Sheet"/>
      <sheetName val="Process Data (2)"/>
      <sheetName val="Process Data"/>
      <sheetName val="Notes 1"/>
      <sheetName val="Notes 2"/>
      <sheetName val="Prelim Sizing"/>
      <sheetName val="Process Data _2_"/>
      <sheetName val="FRONT_SHEET_"/>
      <sheetName val="Data Input"/>
      <sheetName val="M 11"/>
      <sheetName val="Boiler Curves"/>
      <sheetName val="report"/>
      <sheetName val="Field Names"/>
      <sheetName val="Temp"/>
      <sheetName val="Proc"/>
      <sheetName val="V-1002EA"/>
      <sheetName val="#REF"/>
      <sheetName val="V2320-C2"/>
      <sheetName val="FORM-1 (Deviation Exception "/>
      <sheetName val="#REF!"/>
      <sheetName val="general"/>
      <sheetName val="FRONT_SHEET_1"/>
      <sheetName val="Process_Data_Sheet"/>
      <sheetName val="Process_Data_(2)"/>
      <sheetName val="Process_Data"/>
      <sheetName val="Notes_1"/>
      <sheetName val="Notes_2"/>
      <sheetName val="Prelim_Siz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valent Lengths (3)"/>
      <sheetName val="Waterleg Apparent Height Incr."/>
      <sheetName val="Supporting Calcs"/>
      <sheetName val="Change Log"/>
      <sheetName val="All Terrace-Dual Train"/>
      <sheetName val="User Interface"/>
      <sheetName val="P50-P90 Hybrid Data"/>
      <sheetName val="GFHT P-50 Data"/>
      <sheetName val="Block Flow"/>
      <sheetName val="Outfall Line"/>
      <sheetName val="Solve for P1"/>
      <sheetName val="RP 14E Table"/>
      <sheetName val="LiquiddP"/>
      <sheetName val="Hydrocyclone"/>
      <sheetName val="DJG's California Pipe"/>
      <sheetName val="DJG's California Pipe (2)"/>
      <sheetName val="Equivalent Lengths"/>
      <sheetName val="GFHT P-90 Data"/>
      <sheetName val="Operating"/>
      <sheetName val="FireLiq"/>
      <sheetName val="Equivalent Lengths (old)"/>
      <sheetName val="PSV Body Sizes"/>
      <sheetName val="Solve for P2"/>
      <sheetName val="PipeTables"/>
      <sheetName val="GasCg"/>
      <sheetName val="GasCvNorris"/>
      <sheetName val="GasFlow"/>
      <sheetName val="LiquidCv"/>
      <sheetName val="LiquidFlow"/>
      <sheetName val="TwoValveLiq"/>
      <sheetName val="ChokeVarco"/>
      <sheetName val="Water Viscosity (working)"/>
      <sheetName val="Water Viscosity (original)"/>
      <sheetName val="Notes"/>
      <sheetName val="Sketch Pad"/>
      <sheetName val="Top of Hill-100%"/>
      <sheetName val="Top of Hill-Sour Only"/>
      <sheetName val="ST@TOH; Terrace-100%"/>
      <sheetName val="ST@TOH; Terrace-Sour"/>
      <sheetName val="All Terrace-100%"/>
      <sheetName val="LineSubs"/>
      <sheetName val="Cover Sheet "/>
      <sheetName val="General Notes"/>
      <sheetName val="Specific Notes"/>
      <sheetName val="Excluded Lines"/>
      <sheetName val="Main Oil &amp; Gas"/>
      <sheetName val="SG Comp"/>
      <sheetName val="IP Comp C"/>
      <sheetName val="Miscellaneous"/>
      <sheetName val="LP Sep to Oil Degasser"/>
      <sheetName val="Sheet1"/>
      <sheetName val="9-Oil Surge"/>
      <sheetName val="Output"/>
      <sheetName val="Guidelines"/>
      <sheetName val="Feuil2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>
        <row r="4">
          <cell r="A4">
            <v>1.5</v>
          </cell>
          <cell r="B4">
            <v>55</v>
          </cell>
          <cell r="C4">
            <v>55</v>
          </cell>
          <cell r="D4">
            <v>26</v>
          </cell>
          <cell r="E4">
            <v>13</v>
          </cell>
          <cell r="F4">
            <v>1</v>
          </cell>
          <cell r="G4">
            <v>1</v>
          </cell>
          <cell r="H4">
            <v>1</v>
          </cell>
          <cell r="I4">
            <v>1</v>
          </cell>
          <cell r="J4">
            <v>2</v>
          </cell>
          <cell r="K4">
            <v>8</v>
          </cell>
          <cell r="L4">
            <v>2</v>
          </cell>
          <cell r="M4">
            <v>4</v>
          </cell>
          <cell r="N4">
            <v>1</v>
          </cell>
          <cell r="O4">
            <v>1</v>
          </cell>
          <cell r="P4">
            <v>1</v>
          </cell>
        </row>
        <row r="5">
          <cell r="A5">
            <v>2</v>
          </cell>
          <cell r="B5">
            <v>70</v>
          </cell>
          <cell r="C5">
            <v>70</v>
          </cell>
          <cell r="D5">
            <v>33</v>
          </cell>
          <cell r="E5">
            <v>17</v>
          </cell>
          <cell r="F5">
            <v>2</v>
          </cell>
          <cell r="G5">
            <v>2</v>
          </cell>
          <cell r="H5">
            <v>2</v>
          </cell>
          <cell r="I5">
            <v>2</v>
          </cell>
          <cell r="J5">
            <v>3</v>
          </cell>
          <cell r="K5">
            <v>10</v>
          </cell>
          <cell r="L5">
            <v>3</v>
          </cell>
          <cell r="M5">
            <v>5</v>
          </cell>
          <cell r="N5">
            <v>1</v>
          </cell>
          <cell r="O5">
            <v>1</v>
          </cell>
          <cell r="P5">
            <v>1</v>
          </cell>
        </row>
        <row r="6">
          <cell r="A6">
            <v>2.5</v>
          </cell>
          <cell r="B6">
            <v>80</v>
          </cell>
          <cell r="C6">
            <v>80</v>
          </cell>
          <cell r="D6">
            <v>40</v>
          </cell>
          <cell r="E6">
            <v>20</v>
          </cell>
          <cell r="F6">
            <v>2</v>
          </cell>
          <cell r="G6">
            <v>2</v>
          </cell>
          <cell r="H6">
            <v>2</v>
          </cell>
          <cell r="I6">
            <v>2</v>
          </cell>
          <cell r="J6">
            <v>3</v>
          </cell>
          <cell r="K6">
            <v>12</v>
          </cell>
          <cell r="L6">
            <v>3</v>
          </cell>
          <cell r="M6">
            <v>6</v>
          </cell>
          <cell r="N6">
            <v>2</v>
          </cell>
          <cell r="O6">
            <v>2</v>
          </cell>
          <cell r="P6">
            <v>1</v>
          </cell>
        </row>
        <row r="7">
          <cell r="A7">
            <v>3</v>
          </cell>
          <cell r="B7">
            <v>100</v>
          </cell>
          <cell r="C7">
            <v>100</v>
          </cell>
          <cell r="D7">
            <v>50</v>
          </cell>
          <cell r="E7">
            <v>25</v>
          </cell>
          <cell r="F7">
            <v>2</v>
          </cell>
          <cell r="G7">
            <v>2</v>
          </cell>
          <cell r="H7">
            <v>2</v>
          </cell>
          <cell r="I7">
            <v>2</v>
          </cell>
          <cell r="J7">
            <v>4</v>
          </cell>
          <cell r="K7">
            <v>14</v>
          </cell>
          <cell r="L7">
            <v>4</v>
          </cell>
          <cell r="M7">
            <v>8</v>
          </cell>
          <cell r="N7">
            <v>2</v>
          </cell>
          <cell r="O7">
            <v>2</v>
          </cell>
          <cell r="P7">
            <v>1</v>
          </cell>
        </row>
        <row r="8">
          <cell r="A8">
            <v>4</v>
          </cell>
          <cell r="B8">
            <v>130</v>
          </cell>
          <cell r="C8">
            <v>130</v>
          </cell>
          <cell r="D8">
            <v>65</v>
          </cell>
          <cell r="E8">
            <v>32</v>
          </cell>
          <cell r="F8">
            <v>3</v>
          </cell>
          <cell r="G8">
            <v>3</v>
          </cell>
          <cell r="H8">
            <v>3</v>
          </cell>
          <cell r="I8">
            <v>3</v>
          </cell>
          <cell r="J8">
            <v>5</v>
          </cell>
          <cell r="K8">
            <v>19</v>
          </cell>
          <cell r="L8">
            <v>5</v>
          </cell>
          <cell r="M8">
            <v>10</v>
          </cell>
          <cell r="N8">
            <v>3</v>
          </cell>
          <cell r="O8">
            <v>3</v>
          </cell>
          <cell r="P8">
            <v>1</v>
          </cell>
        </row>
        <row r="9">
          <cell r="A9">
            <v>6</v>
          </cell>
          <cell r="B9">
            <v>200</v>
          </cell>
          <cell r="C9">
            <v>200</v>
          </cell>
          <cell r="D9">
            <v>100</v>
          </cell>
          <cell r="E9">
            <v>48</v>
          </cell>
          <cell r="F9">
            <v>4</v>
          </cell>
          <cell r="G9">
            <v>4</v>
          </cell>
          <cell r="H9">
            <v>4</v>
          </cell>
          <cell r="I9">
            <v>4</v>
          </cell>
          <cell r="J9">
            <v>8</v>
          </cell>
          <cell r="K9">
            <v>28</v>
          </cell>
          <cell r="L9">
            <v>8</v>
          </cell>
          <cell r="M9">
            <v>14</v>
          </cell>
          <cell r="N9">
            <v>4</v>
          </cell>
          <cell r="O9">
            <v>4</v>
          </cell>
          <cell r="P9">
            <v>1</v>
          </cell>
        </row>
        <row r="10">
          <cell r="A10">
            <v>8</v>
          </cell>
          <cell r="B10">
            <v>260</v>
          </cell>
          <cell r="C10">
            <v>260</v>
          </cell>
          <cell r="D10">
            <v>125</v>
          </cell>
          <cell r="E10">
            <v>64</v>
          </cell>
          <cell r="F10">
            <v>6</v>
          </cell>
          <cell r="G10">
            <v>6</v>
          </cell>
          <cell r="H10">
            <v>6</v>
          </cell>
          <cell r="I10">
            <v>6</v>
          </cell>
          <cell r="J10">
            <v>9</v>
          </cell>
          <cell r="K10">
            <v>37</v>
          </cell>
          <cell r="L10">
            <v>9</v>
          </cell>
          <cell r="M10">
            <v>19</v>
          </cell>
          <cell r="N10">
            <v>5</v>
          </cell>
          <cell r="O10">
            <v>5</v>
          </cell>
          <cell r="P10">
            <v>2</v>
          </cell>
        </row>
        <row r="11">
          <cell r="A11">
            <v>10</v>
          </cell>
          <cell r="B11">
            <v>330</v>
          </cell>
          <cell r="C11">
            <v>330</v>
          </cell>
          <cell r="D11">
            <v>160</v>
          </cell>
          <cell r="E11">
            <v>80</v>
          </cell>
          <cell r="F11">
            <v>7</v>
          </cell>
          <cell r="G11">
            <v>7</v>
          </cell>
          <cell r="H11">
            <v>7</v>
          </cell>
          <cell r="I11">
            <v>7</v>
          </cell>
          <cell r="J11">
            <v>12</v>
          </cell>
          <cell r="K11">
            <v>47</v>
          </cell>
          <cell r="L11">
            <v>12</v>
          </cell>
          <cell r="M11">
            <v>24</v>
          </cell>
          <cell r="N11">
            <v>7</v>
          </cell>
          <cell r="O11">
            <v>6</v>
          </cell>
          <cell r="P11">
            <v>2</v>
          </cell>
        </row>
        <row r="12">
          <cell r="A12">
            <v>12</v>
          </cell>
          <cell r="B12">
            <v>400</v>
          </cell>
          <cell r="C12">
            <v>400</v>
          </cell>
          <cell r="D12">
            <v>190</v>
          </cell>
          <cell r="E12">
            <v>95</v>
          </cell>
          <cell r="F12">
            <v>9</v>
          </cell>
          <cell r="G12">
            <v>9</v>
          </cell>
          <cell r="H12">
            <v>9</v>
          </cell>
          <cell r="I12">
            <v>9</v>
          </cell>
          <cell r="J12">
            <v>14</v>
          </cell>
          <cell r="K12">
            <v>55</v>
          </cell>
          <cell r="L12">
            <v>14</v>
          </cell>
          <cell r="M12">
            <v>28</v>
          </cell>
          <cell r="N12">
            <v>8</v>
          </cell>
          <cell r="O12">
            <v>7</v>
          </cell>
          <cell r="P12">
            <v>2</v>
          </cell>
        </row>
        <row r="13">
          <cell r="A13">
            <v>14</v>
          </cell>
          <cell r="B13">
            <v>450</v>
          </cell>
          <cell r="C13">
            <v>450</v>
          </cell>
          <cell r="D13">
            <v>210</v>
          </cell>
          <cell r="E13">
            <v>105</v>
          </cell>
          <cell r="F13">
            <v>10</v>
          </cell>
          <cell r="G13">
            <v>10</v>
          </cell>
          <cell r="H13">
            <v>10</v>
          </cell>
          <cell r="I13">
            <v>10</v>
          </cell>
          <cell r="J13">
            <v>16</v>
          </cell>
          <cell r="K13">
            <v>62</v>
          </cell>
          <cell r="L13">
            <v>16</v>
          </cell>
          <cell r="M13">
            <v>19</v>
          </cell>
          <cell r="N13">
            <v>5</v>
          </cell>
          <cell r="O13">
            <v>5</v>
          </cell>
          <cell r="P13">
            <v>2</v>
          </cell>
        </row>
        <row r="14">
          <cell r="A14">
            <v>16</v>
          </cell>
          <cell r="B14">
            <v>500</v>
          </cell>
          <cell r="C14">
            <v>500</v>
          </cell>
          <cell r="D14">
            <v>240</v>
          </cell>
          <cell r="E14">
            <v>120</v>
          </cell>
          <cell r="F14">
            <v>11</v>
          </cell>
          <cell r="G14">
            <v>11</v>
          </cell>
          <cell r="H14">
            <v>11</v>
          </cell>
          <cell r="I14">
            <v>11</v>
          </cell>
          <cell r="J14">
            <v>18</v>
          </cell>
          <cell r="K14">
            <v>72</v>
          </cell>
          <cell r="L14">
            <v>18</v>
          </cell>
          <cell r="M14">
            <v>24</v>
          </cell>
          <cell r="N14">
            <v>7</v>
          </cell>
          <cell r="O14">
            <v>6</v>
          </cell>
          <cell r="P14">
            <v>2</v>
          </cell>
        </row>
        <row r="15">
          <cell r="A15">
            <v>18</v>
          </cell>
          <cell r="B15">
            <v>550</v>
          </cell>
          <cell r="C15">
            <v>550</v>
          </cell>
          <cell r="D15">
            <v>280</v>
          </cell>
          <cell r="E15">
            <v>140</v>
          </cell>
          <cell r="F15">
            <v>12</v>
          </cell>
          <cell r="G15">
            <v>12</v>
          </cell>
          <cell r="H15">
            <v>12</v>
          </cell>
          <cell r="I15">
            <v>12</v>
          </cell>
          <cell r="J15">
            <v>20</v>
          </cell>
          <cell r="K15">
            <v>82</v>
          </cell>
          <cell r="L15">
            <v>20</v>
          </cell>
          <cell r="M15">
            <v>28</v>
          </cell>
          <cell r="N15">
            <v>8</v>
          </cell>
          <cell r="O15">
            <v>7</v>
          </cell>
          <cell r="P15">
            <v>2</v>
          </cell>
        </row>
        <row r="16">
          <cell r="A16">
            <v>20</v>
          </cell>
          <cell r="B16">
            <v>650</v>
          </cell>
          <cell r="C16">
            <v>650</v>
          </cell>
          <cell r="D16">
            <v>300</v>
          </cell>
          <cell r="E16">
            <v>155</v>
          </cell>
          <cell r="F16">
            <v>14</v>
          </cell>
          <cell r="G16">
            <v>14</v>
          </cell>
          <cell r="H16">
            <v>14</v>
          </cell>
          <cell r="I16">
            <v>14</v>
          </cell>
          <cell r="J16">
            <v>23</v>
          </cell>
          <cell r="K16">
            <v>90</v>
          </cell>
          <cell r="L16">
            <v>23</v>
          </cell>
          <cell r="M16">
            <v>32</v>
          </cell>
          <cell r="N16">
            <v>9</v>
          </cell>
          <cell r="O16">
            <v>8</v>
          </cell>
          <cell r="P16">
            <v>3</v>
          </cell>
        </row>
        <row r="17">
          <cell r="A17">
            <v>22</v>
          </cell>
          <cell r="B17">
            <v>688</v>
          </cell>
          <cell r="C17">
            <v>688</v>
          </cell>
          <cell r="D17">
            <v>335</v>
          </cell>
          <cell r="E17">
            <v>170</v>
          </cell>
          <cell r="F17">
            <v>15</v>
          </cell>
          <cell r="G17">
            <v>15</v>
          </cell>
          <cell r="H17">
            <v>15</v>
          </cell>
          <cell r="I17">
            <v>15</v>
          </cell>
          <cell r="J17">
            <v>25</v>
          </cell>
          <cell r="K17">
            <v>100</v>
          </cell>
          <cell r="L17">
            <v>25</v>
          </cell>
          <cell r="M17">
            <v>36</v>
          </cell>
          <cell r="N17">
            <v>10</v>
          </cell>
          <cell r="O17">
            <v>9</v>
          </cell>
          <cell r="P17">
            <v>3</v>
          </cell>
        </row>
        <row r="18">
          <cell r="A18">
            <v>24</v>
          </cell>
          <cell r="B18">
            <v>750</v>
          </cell>
          <cell r="C18">
            <v>750</v>
          </cell>
          <cell r="D18">
            <v>370</v>
          </cell>
          <cell r="E18">
            <v>185</v>
          </cell>
          <cell r="F18">
            <v>16</v>
          </cell>
          <cell r="G18">
            <v>16</v>
          </cell>
          <cell r="H18">
            <v>16</v>
          </cell>
          <cell r="I18">
            <v>16</v>
          </cell>
          <cell r="J18">
            <v>27</v>
          </cell>
          <cell r="K18">
            <v>110</v>
          </cell>
          <cell r="L18">
            <v>27</v>
          </cell>
          <cell r="M18">
            <v>40</v>
          </cell>
          <cell r="N18">
            <v>11</v>
          </cell>
          <cell r="O18">
            <v>10</v>
          </cell>
          <cell r="P18">
            <v>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valent Lengths"/>
      <sheetName val="Output"/>
      <sheetName val="RP 14E Table"/>
    </sheetNames>
    <sheetDataSet>
      <sheetData sheetId="0"/>
      <sheetData sheetId="1"/>
      <sheetData sheetId="2">
        <row r="4">
          <cell r="A4">
            <v>0.5</v>
          </cell>
          <cell r="B4">
            <v>25</v>
          </cell>
          <cell r="C4">
            <v>25</v>
          </cell>
          <cell r="D4">
            <v>12</v>
          </cell>
          <cell r="E4">
            <v>5</v>
          </cell>
          <cell r="F4">
            <v>1</v>
          </cell>
          <cell r="G4">
            <v>1</v>
          </cell>
          <cell r="H4">
            <v>1</v>
          </cell>
          <cell r="I4">
            <v>1</v>
          </cell>
          <cell r="J4">
            <v>1</v>
          </cell>
          <cell r="K4">
            <v>4</v>
          </cell>
          <cell r="L4">
            <v>1</v>
          </cell>
          <cell r="M4">
            <v>2</v>
          </cell>
          <cell r="N4">
            <v>1</v>
          </cell>
          <cell r="O4">
            <v>1</v>
          </cell>
          <cell r="P4">
            <v>1</v>
          </cell>
        </row>
        <row r="5">
          <cell r="A5">
            <v>0.75</v>
          </cell>
          <cell r="B5">
            <v>32.5</v>
          </cell>
          <cell r="C5">
            <v>32.5</v>
          </cell>
          <cell r="D5">
            <v>15.5</v>
          </cell>
          <cell r="E5">
            <v>7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5</v>
          </cell>
          <cell r="L5">
            <v>1</v>
          </cell>
          <cell r="M5">
            <v>2.5</v>
          </cell>
          <cell r="N5">
            <v>1</v>
          </cell>
          <cell r="O5">
            <v>1</v>
          </cell>
          <cell r="P5">
            <v>1</v>
          </cell>
        </row>
        <row r="6">
          <cell r="A6">
            <v>1</v>
          </cell>
          <cell r="B6">
            <v>40</v>
          </cell>
          <cell r="C6">
            <v>40</v>
          </cell>
          <cell r="D6">
            <v>19</v>
          </cell>
          <cell r="E6">
            <v>9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6</v>
          </cell>
          <cell r="L6">
            <v>1</v>
          </cell>
          <cell r="M6">
            <v>3</v>
          </cell>
          <cell r="N6">
            <v>1</v>
          </cell>
          <cell r="O6">
            <v>1</v>
          </cell>
          <cell r="P6">
            <v>1</v>
          </cell>
        </row>
        <row r="7">
          <cell r="A7">
            <v>1.5</v>
          </cell>
          <cell r="B7">
            <v>55</v>
          </cell>
          <cell r="C7">
            <v>55</v>
          </cell>
          <cell r="D7">
            <v>26</v>
          </cell>
          <cell r="E7">
            <v>13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J7">
            <v>2</v>
          </cell>
          <cell r="K7">
            <v>8</v>
          </cell>
          <cell r="L7">
            <v>2</v>
          </cell>
          <cell r="M7">
            <v>4</v>
          </cell>
          <cell r="N7">
            <v>1</v>
          </cell>
          <cell r="O7">
            <v>1</v>
          </cell>
          <cell r="P7">
            <v>1</v>
          </cell>
        </row>
        <row r="8">
          <cell r="A8">
            <v>2</v>
          </cell>
          <cell r="B8">
            <v>70</v>
          </cell>
          <cell r="C8">
            <v>70</v>
          </cell>
          <cell r="D8">
            <v>33</v>
          </cell>
          <cell r="E8">
            <v>17</v>
          </cell>
          <cell r="F8">
            <v>2</v>
          </cell>
          <cell r="G8">
            <v>2</v>
          </cell>
          <cell r="H8">
            <v>2</v>
          </cell>
          <cell r="I8">
            <v>2</v>
          </cell>
          <cell r="J8">
            <v>3</v>
          </cell>
          <cell r="K8">
            <v>10</v>
          </cell>
          <cell r="L8">
            <v>3</v>
          </cell>
          <cell r="M8">
            <v>5</v>
          </cell>
          <cell r="N8">
            <v>1</v>
          </cell>
          <cell r="O8">
            <v>1</v>
          </cell>
          <cell r="P8">
            <v>1</v>
          </cell>
        </row>
        <row r="9">
          <cell r="A9">
            <v>2.5</v>
          </cell>
          <cell r="B9">
            <v>80</v>
          </cell>
          <cell r="C9">
            <v>80</v>
          </cell>
          <cell r="D9">
            <v>40</v>
          </cell>
          <cell r="E9">
            <v>20</v>
          </cell>
          <cell r="F9">
            <v>2</v>
          </cell>
          <cell r="G9">
            <v>2</v>
          </cell>
          <cell r="H9">
            <v>2</v>
          </cell>
          <cell r="I9">
            <v>2</v>
          </cell>
          <cell r="J9">
            <v>3</v>
          </cell>
          <cell r="K9">
            <v>12</v>
          </cell>
          <cell r="L9">
            <v>3</v>
          </cell>
          <cell r="M9">
            <v>6</v>
          </cell>
          <cell r="N9">
            <v>2</v>
          </cell>
          <cell r="O9">
            <v>2</v>
          </cell>
          <cell r="P9">
            <v>1</v>
          </cell>
        </row>
        <row r="10">
          <cell r="A10">
            <v>3</v>
          </cell>
          <cell r="B10">
            <v>100</v>
          </cell>
          <cell r="C10">
            <v>100</v>
          </cell>
          <cell r="D10">
            <v>50</v>
          </cell>
          <cell r="E10">
            <v>25</v>
          </cell>
          <cell r="F10">
            <v>2</v>
          </cell>
          <cell r="G10">
            <v>2</v>
          </cell>
          <cell r="H10">
            <v>2</v>
          </cell>
          <cell r="I10">
            <v>2</v>
          </cell>
          <cell r="J10">
            <v>4</v>
          </cell>
          <cell r="K10">
            <v>14</v>
          </cell>
          <cell r="L10">
            <v>4</v>
          </cell>
          <cell r="M10">
            <v>8</v>
          </cell>
          <cell r="N10">
            <v>2</v>
          </cell>
          <cell r="O10">
            <v>2</v>
          </cell>
          <cell r="P10">
            <v>1</v>
          </cell>
        </row>
        <row r="11">
          <cell r="A11">
            <v>4</v>
          </cell>
          <cell r="B11">
            <v>130</v>
          </cell>
          <cell r="C11">
            <v>130</v>
          </cell>
          <cell r="D11">
            <v>65</v>
          </cell>
          <cell r="E11">
            <v>32</v>
          </cell>
          <cell r="F11">
            <v>3</v>
          </cell>
          <cell r="G11">
            <v>3</v>
          </cell>
          <cell r="H11">
            <v>3</v>
          </cell>
          <cell r="I11">
            <v>3</v>
          </cell>
          <cell r="J11">
            <v>5</v>
          </cell>
          <cell r="K11">
            <v>19</v>
          </cell>
          <cell r="L11">
            <v>5</v>
          </cell>
          <cell r="M11">
            <v>10</v>
          </cell>
          <cell r="N11">
            <v>3</v>
          </cell>
          <cell r="O11">
            <v>3</v>
          </cell>
          <cell r="P11">
            <v>1</v>
          </cell>
        </row>
        <row r="12">
          <cell r="A12">
            <v>6</v>
          </cell>
          <cell r="B12">
            <v>200</v>
          </cell>
          <cell r="C12">
            <v>200</v>
          </cell>
          <cell r="D12">
            <v>100</v>
          </cell>
          <cell r="E12">
            <v>48</v>
          </cell>
          <cell r="F12">
            <v>4</v>
          </cell>
          <cell r="G12">
            <v>4</v>
          </cell>
          <cell r="H12">
            <v>4</v>
          </cell>
          <cell r="I12">
            <v>4</v>
          </cell>
          <cell r="J12">
            <v>8</v>
          </cell>
          <cell r="K12">
            <v>28</v>
          </cell>
          <cell r="L12">
            <v>8</v>
          </cell>
          <cell r="M12">
            <v>14</v>
          </cell>
          <cell r="N12">
            <v>4</v>
          </cell>
          <cell r="O12">
            <v>4</v>
          </cell>
          <cell r="P12">
            <v>1</v>
          </cell>
        </row>
        <row r="13">
          <cell r="A13">
            <v>8</v>
          </cell>
          <cell r="B13">
            <v>260</v>
          </cell>
          <cell r="C13">
            <v>260</v>
          </cell>
          <cell r="D13">
            <v>125</v>
          </cell>
          <cell r="E13">
            <v>64</v>
          </cell>
          <cell r="F13">
            <v>6</v>
          </cell>
          <cell r="G13">
            <v>6</v>
          </cell>
          <cell r="H13">
            <v>6</v>
          </cell>
          <cell r="I13">
            <v>6</v>
          </cell>
          <cell r="J13">
            <v>9</v>
          </cell>
          <cell r="K13">
            <v>37</v>
          </cell>
          <cell r="L13">
            <v>9</v>
          </cell>
          <cell r="M13">
            <v>19</v>
          </cell>
          <cell r="N13">
            <v>5</v>
          </cell>
          <cell r="O13">
            <v>5</v>
          </cell>
          <cell r="P13">
            <v>2</v>
          </cell>
        </row>
        <row r="14">
          <cell r="A14">
            <v>10</v>
          </cell>
          <cell r="B14">
            <v>330</v>
          </cell>
          <cell r="C14">
            <v>330</v>
          </cell>
          <cell r="D14">
            <v>160</v>
          </cell>
          <cell r="E14">
            <v>80</v>
          </cell>
          <cell r="F14">
            <v>7</v>
          </cell>
          <cell r="G14">
            <v>7</v>
          </cell>
          <cell r="H14">
            <v>7</v>
          </cell>
          <cell r="I14">
            <v>7</v>
          </cell>
          <cell r="J14">
            <v>12</v>
          </cell>
          <cell r="K14">
            <v>47</v>
          </cell>
          <cell r="L14">
            <v>12</v>
          </cell>
          <cell r="M14">
            <v>24</v>
          </cell>
          <cell r="N14">
            <v>7</v>
          </cell>
          <cell r="O14">
            <v>6</v>
          </cell>
          <cell r="P14">
            <v>2</v>
          </cell>
        </row>
        <row r="15">
          <cell r="A15">
            <v>12</v>
          </cell>
          <cell r="B15">
            <v>400</v>
          </cell>
          <cell r="C15">
            <v>400</v>
          </cell>
          <cell r="D15">
            <v>190</v>
          </cell>
          <cell r="E15">
            <v>95</v>
          </cell>
          <cell r="F15">
            <v>9</v>
          </cell>
          <cell r="G15">
            <v>9</v>
          </cell>
          <cell r="H15">
            <v>9</v>
          </cell>
          <cell r="I15">
            <v>9</v>
          </cell>
          <cell r="J15">
            <v>14</v>
          </cell>
          <cell r="K15">
            <v>55</v>
          </cell>
          <cell r="L15">
            <v>14</v>
          </cell>
          <cell r="M15">
            <v>28</v>
          </cell>
          <cell r="N15">
            <v>8</v>
          </cell>
          <cell r="O15">
            <v>7</v>
          </cell>
          <cell r="P15">
            <v>2</v>
          </cell>
        </row>
        <row r="16">
          <cell r="A16">
            <v>14</v>
          </cell>
          <cell r="B16">
            <v>450</v>
          </cell>
          <cell r="C16">
            <v>450</v>
          </cell>
          <cell r="D16">
            <v>210</v>
          </cell>
          <cell r="E16">
            <v>105</v>
          </cell>
          <cell r="F16">
            <v>10</v>
          </cell>
          <cell r="G16">
            <v>10</v>
          </cell>
          <cell r="H16">
            <v>10</v>
          </cell>
          <cell r="I16">
            <v>10</v>
          </cell>
          <cell r="J16">
            <v>16</v>
          </cell>
          <cell r="K16">
            <v>62</v>
          </cell>
          <cell r="L16">
            <v>16</v>
          </cell>
          <cell r="M16">
            <v>32</v>
          </cell>
          <cell r="N16">
            <v>9</v>
          </cell>
          <cell r="O16">
            <v>8</v>
          </cell>
          <cell r="P16">
            <v>3</v>
          </cell>
        </row>
        <row r="17">
          <cell r="A17">
            <v>16</v>
          </cell>
          <cell r="B17">
            <v>500</v>
          </cell>
          <cell r="C17">
            <v>500</v>
          </cell>
          <cell r="D17">
            <v>240</v>
          </cell>
          <cell r="E17">
            <v>120</v>
          </cell>
          <cell r="F17">
            <v>11</v>
          </cell>
          <cell r="G17">
            <v>11</v>
          </cell>
          <cell r="H17">
            <v>11</v>
          </cell>
          <cell r="I17">
            <v>11</v>
          </cell>
          <cell r="J17">
            <v>18</v>
          </cell>
          <cell r="K17">
            <v>72</v>
          </cell>
          <cell r="L17">
            <v>18</v>
          </cell>
          <cell r="M17">
            <v>36</v>
          </cell>
          <cell r="N17">
            <v>10</v>
          </cell>
          <cell r="O17">
            <v>9</v>
          </cell>
          <cell r="P17">
            <v>3</v>
          </cell>
        </row>
        <row r="18">
          <cell r="A18">
            <v>18</v>
          </cell>
          <cell r="B18">
            <v>550</v>
          </cell>
          <cell r="C18">
            <v>550</v>
          </cell>
          <cell r="D18">
            <v>280</v>
          </cell>
          <cell r="E18">
            <v>140</v>
          </cell>
          <cell r="F18">
            <v>12</v>
          </cell>
          <cell r="G18">
            <v>12</v>
          </cell>
          <cell r="H18">
            <v>12</v>
          </cell>
          <cell r="I18">
            <v>12</v>
          </cell>
          <cell r="J18">
            <v>20</v>
          </cell>
          <cell r="K18">
            <v>82</v>
          </cell>
          <cell r="L18">
            <v>20</v>
          </cell>
          <cell r="M18">
            <v>40</v>
          </cell>
          <cell r="N18">
            <v>11</v>
          </cell>
          <cell r="O18">
            <v>10</v>
          </cell>
          <cell r="P18">
            <v>3</v>
          </cell>
        </row>
        <row r="19">
          <cell r="A19">
            <v>20</v>
          </cell>
          <cell r="B19">
            <v>650</v>
          </cell>
          <cell r="C19">
            <v>650</v>
          </cell>
          <cell r="D19">
            <v>300</v>
          </cell>
          <cell r="E19">
            <v>155</v>
          </cell>
          <cell r="F19">
            <v>14</v>
          </cell>
          <cell r="G19">
            <v>14</v>
          </cell>
          <cell r="H19">
            <v>14</v>
          </cell>
          <cell r="I19">
            <v>14</v>
          </cell>
          <cell r="J19">
            <v>23</v>
          </cell>
          <cell r="K19">
            <v>90</v>
          </cell>
          <cell r="L19">
            <v>23</v>
          </cell>
          <cell r="M19">
            <v>46</v>
          </cell>
          <cell r="N19">
            <v>13</v>
          </cell>
          <cell r="O19">
            <v>12</v>
          </cell>
          <cell r="P19">
            <v>4</v>
          </cell>
        </row>
        <row r="20">
          <cell r="A20">
            <v>22</v>
          </cell>
          <cell r="B20">
            <v>688</v>
          </cell>
          <cell r="C20">
            <v>688</v>
          </cell>
          <cell r="D20">
            <v>335</v>
          </cell>
          <cell r="E20">
            <v>170</v>
          </cell>
          <cell r="F20">
            <v>15</v>
          </cell>
          <cell r="G20">
            <v>15</v>
          </cell>
          <cell r="H20">
            <v>15</v>
          </cell>
          <cell r="I20">
            <v>15</v>
          </cell>
          <cell r="J20">
            <v>25</v>
          </cell>
          <cell r="K20">
            <v>100</v>
          </cell>
          <cell r="L20">
            <v>25</v>
          </cell>
          <cell r="M20">
            <v>50</v>
          </cell>
          <cell r="N20">
            <v>14</v>
          </cell>
          <cell r="O20">
            <v>13</v>
          </cell>
          <cell r="P20">
            <v>4</v>
          </cell>
        </row>
        <row r="21">
          <cell r="A21">
            <v>24</v>
          </cell>
          <cell r="B21">
            <v>750</v>
          </cell>
          <cell r="C21">
            <v>750</v>
          </cell>
          <cell r="D21">
            <v>370</v>
          </cell>
          <cell r="E21">
            <v>185</v>
          </cell>
          <cell r="F21">
            <v>16</v>
          </cell>
          <cell r="G21">
            <v>16</v>
          </cell>
          <cell r="H21">
            <v>16</v>
          </cell>
          <cell r="I21">
            <v>16</v>
          </cell>
          <cell r="J21">
            <v>27</v>
          </cell>
          <cell r="K21">
            <v>110</v>
          </cell>
          <cell r="L21">
            <v>27</v>
          </cell>
          <cell r="M21">
            <v>54</v>
          </cell>
          <cell r="N21">
            <v>15</v>
          </cell>
          <cell r="O21">
            <v>14</v>
          </cell>
          <cell r="P21">
            <v>5</v>
          </cell>
        </row>
        <row r="22">
          <cell r="A22">
            <v>26</v>
          </cell>
          <cell r="B22">
            <v>815</v>
          </cell>
          <cell r="C22">
            <v>815</v>
          </cell>
          <cell r="D22">
            <v>399</v>
          </cell>
          <cell r="E22">
            <v>200</v>
          </cell>
          <cell r="F22">
            <v>18</v>
          </cell>
          <cell r="G22">
            <v>18</v>
          </cell>
          <cell r="H22">
            <v>18</v>
          </cell>
          <cell r="I22">
            <v>18</v>
          </cell>
          <cell r="J22">
            <v>31</v>
          </cell>
          <cell r="K22">
            <v>120</v>
          </cell>
          <cell r="L22">
            <v>31</v>
          </cell>
          <cell r="M22">
            <v>59</v>
          </cell>
          <cell r="N22">
            <v>16</v>
          </cell>
          <cell r="O22">
            <v>15</v>
          </cell>
          <cell r="P22">
            <v>5</v>
          </cell>
        </row>
        <row r="23">
          <cell r="A23">
            <v>28</v>
          </cell>
          <cell r="B23">
            <v>880</v>
          </cell>
          <cell r="C23">
            <v>880</v>
          </cell>
          <cell r="D23">
            <v>427</v>
          </cell>
          <cell r="E23">
            <v>215</v>
          </cell>
          <cell r="F23">
            <v>19</v>
          </cell>
          <cell r="G23">
            <v>19</v>
          </cell>
          <cell r="H23">
            <v>19</v>
          </cell>
          <cell r="I23">
            <v>19</v>
          </cell>
          <cell r="J23">
            <v>36</v>
          </cell>
          <cell r="K23">
            <v>130</v>
          </cell>
          <cell r="L23">
            <v>36</v>
          </cell>
          <cell r="M23">
            <v>63</v>
          </cell>
          <cell r="N23">
            <v>18</v>
          </cell>
          <cell r="O23">
            <v>16</v>
          </cell>
          <cell r="P23">
            <v>6</v>
          </cell>
        </row>
        <row r="24">
          <cell r="A24">
            <v>30</v>
          </cell>
          <cell r="B24">
            <v>945</v>
          </cell>
          <cell r="C24">
            <v>945</v>
          </cell>
          <cell r="D24">
            <v>456</v>
          </cell>
          <cell r="E24">
            <v>230</v>
          </cell>
          <cell r="F24">
            <v>21</v>
          </cell>
          <cell r="G24">
            <v>21</v>
          </cell>
          <cell r="H24">
            <v>21</v>
          </cell>
          <cell r="I24">
            <v>21</v>
          </cell>
          <cell r="J24">
            <v>40</v>
          </cell>
          <cell r="K24">
            <v>140</v>
          </cell>
          <cell r="L24">
            <v>40</v>
          </cell>
          <cell r="M24">
            <v>68</v>
          </cell>
          <cell r="N24">
            <v>19</v>
          </cell>
          <cell r="O24">
            <v>17</v>
          </cell>
          <cell r="P24">
            <v>6</v>
          </cell>
        </row>
        <row r="25">
          <cell r="A25">
            <v>32</v>
          </cell>
          <cell r="B25">
            <v>1008</v>
          </cell>
          <cell r="C25">
            <v>1008</v>
          </cell>
          <cell r="D25">
            <v>486</v>
          </cell>
          <cell r="E25">
            <v>245</v>
          </cell>
          <cell r="F25">
            <v>22</v>
          </cell>
          <cell r="G25">
            <v>22</v>
          </cell>
          <cell r="H25">
            <v>22</v>
          </cell>
          <cell r="I25">
            <v>22</v>
          </cell>
          <cell r="J25">
            <v>42</v>
          </cell>
          <cell r="K25">
            <v>150</v>
          </cell>
          <cell r="L25">
            <v>42</v>
          </cell>
          <cell r="M25">
            <v>72</v>
          </cell>
          <cell r="N25">
            <v>20</v>
          </cell>
          <cell r="O25">
            <v>18</v>
          </cell>
          <cell r="P25">
            <v>6</v>
          </cell>
        </row>
        <row r="26">
          <cell r="A26">
            <v>34</v>
          </cell>
          <cell r="B26">
            <v>1071</v>
          </cell>
          <cell r="C26">
            <v>1071</v>
          </cell>
          <cell r="D26">
            <v>517</v>
          </cell>
          <cell r="E26">
            <v>261</v>
          </cell>
          <cell r="F26">
            <v>24</v>
          </cell>
          <cell r="G26">
            <v>24</v>
          </cell>
          <cell r="H26">
            <v>24</v>
          </cell>
          <cell r="I26">
            <v>24</v>
          </cell>
          <cell r="J26">
            <v>45</v>
          </cell>
          <cell r="K26">
            <v>160</v>
          </cell>
          <cell r="L26">
            <v>45</v>
          </cell>
          <cell r="M26">
            <v>77</v>
          </cell>
          <cell r="N26">
            <v>22</v>
          </cell>
          <cell r="O26">
            <v>20</v>
          </cell>
          <cell r="P26">
            <v>7</v>
          </cell>
        </row>
        <row r="27">
          <cell r="A27">
            <v>36</v>
          </cell>
          <cell r="B27">
            <v>1134</v>
          </cell>
          <cell r="C27">
            <v>1134</v>
          </cell>
          <cell r="D27">
            <v>547</v>
          </cell>
          <cell r="E27">
            <v>276</v>
          </cell>
          <cell r="F27">
            <v>25</v>
          </cell>
          <cell r="G27">
            <v>25</v>
          </cell>
          <cell r="H27">
            <v>25</v>
          </cell>
          <cell r="I27">
            <v>25</v>
          </cell>
          <cell r="J27">
            <v>47</v>
          </cell>
          <cell r="K27">
            <v>170</v>
          </cell>
          <cell r="L27">
            <v>47</v>
          </cell>
          <cell r="M27">
            <v>81</v>
          </cell>
          <cell r="N27">
            <v>23</v>
          </cell>
          <cell r="O27">
            <v>21</v>
          </cell>
          <cell r="P27">
            <v>7</v>
          </cell>
        </row>
        <row r="28">
          <cell r="A28">
            <v>38</v>
          </cell>
          <cell r="B28">
            <v>1197</v>
          </cell>
          <cell r="C28">
            <v>1197</v>
          </cell>
          <cell r="D28">
            <v>577</v>
          </cell>
          <cell r="E28">
            <v>291</v>
          </cell>
          <cell r="F28">
            <v>27</v>
          </cell>
          <cell r="G28">
            <v>27</v>
          </cell>
          <cell r="H28">
            <v>27</v>
          </cell>
          <cell r="I28">
            <v>27</v>
          </cell>
          <cell r="J28">
            <v>50</v>
          </cell>
          <cell r="K28">
            <v>180</v>
          </cell>
          <cell r="L28">
            <v>50</v>
          </cell>
          <cell r="M28">
            <v>86</v>
          </cell>
          <cell r="N28">
            <v>24</v>
          </cell>
          <cell r="O28">
            <v>22</v>
          </cell>
          <cell r="P28">
            <v>7</v>
          </cell>
        </row>
        <row r="29">
          <cell r="A29">
            <v>40</v>
          </cell>
          <cell r="B29">
            <v>1260</v>
          </cell>
          <cell r="C29">
            <v>1260</v>
          </cell>
          <cell r="D29">
            <v>608</v>
          </cell>
          <cell r="E29">
            <v>307</v>
          </cell>
          <cell r="F29">
            <v>28</v>
          </cell>
          <cell r="G29">
            <v>28</v>
          </cell>
          <cell r="H29">
            <v>28</v>
          </cell>
          <cell r="I29">
            <v>28</v>
          </cell>
          <cell r="J29">
            <v>52</v>
          </cell>
          <cell r="K29">
            <v>190</v>
          </cell>
          <cell r="L29">
            <v>52</v>
          </cell>
          <cell r="M29">
            <v>90</v>
          </cell>
          <cell r="N29">
            <v>25</v>
          </cell>
          <cell r="O29">
            <v>23</v>
          </cell>
          <cell r="P29">
            <v>8</v>
          </cell>
        </row>
        <row r="30">
          <cell r="A30">
            <v>42</v>
          </cell>
          <cell r="B30">
            <v>1323</v>
          </cell>
          <cell r="C30">
            <v>1323</v>
          </cell>
          <cell r="D30">
            <v>638</v>
          </cell>
          <cell r="E30">
            <v>322</v>
          </cell>
          <cell r="F30">
            <v>30</v>
          </cell>
          <cell r="G30">
            <v>30</v>
          </cell>
          <cell r="H30">
            <v>30</v>
          </cell>
          <cell r="I30">
            <v>30</v>
          </cell>
          <cell r="J30">
            <v>55</v>
          </cell>
          <cell r="K30">
            <v>200</v>
          </cell>
          <cell r="L30">
            <v>55</v>
          </cell>
          <cell r="M30">
            <v>95</v>
          </cell>
          <cell r="N30">
            <v>26</v>
          </cell>
          <cell r="O30">
            <v>24</v>
          </cell>
          <cell r="P30">
            <v>8</v>
          </cell>
        </row>
        <row r="31">
          <cell r="A31">
            <v>44</v>
          </cell>
          <cell r="B31">
            <v>1386</v>
          </cell>
          <cell r="C31">
            <v>1386</v>
          </cell>
          <cell r="D31">
            <v>669</v>
          </cell>
          <cell r="E31">
            <v>337</v>
          </cell>
          <cell r="F31">
            <v>32</v>
          </cell>
          <cell r="G31">
            <v>32</v>
          </cell>
          <cell r="H31">
            <v>32</v>
          </cell>
          <cell r="I31">
            <v>32</v>
          </cell>
          <cell r="J31">
            <v>58</v>
          </cell>
          <cell r="K31">
            <v>207</v>
          </cell>
          <cell r="L31">
            <v>58</v>
          </cell>
          <cell r="M31">
            <v>100</v>
          </cell>
          <cell r="N31">
            <v>27</v>
          </cell>
          <cell r="O31">
            <v>25</v>
          </cell>
          <cell r="P31">
            <v>8</v>
          </cell>
        </row>
        <row r="32">
          <cell r="A32">
            <v>46</v>
          </cell>
          <cell r="B32">
            <v>1449</v>
          </cell>
          <cell r="C32">
            <v>1449</v>
          </cell>
          <cell r="D32">
            <v>699</v>
          </cell>
          <cell r="E32">
            <v>353</v>
          </cell>
          <cell r="F32">
            <v>33</v>
          </cell>
          <cell r="G32">
            <v>33</v>
          </cell>
          <cell r="H32">
            <v>33</v>
          </cell>
          <cell r="I32">
            <v>33</v>
          </cell>
          <cell r="J32">
            <v>62</v>
          </cell>
          <cell r="K32">
            <v>213</v>
          </cell>
          <cell r="L32">
            <v>62</v>
          </cell>
          <cell r="M32">
            <v>104</v>
          </cell>
          <cell r="N32">
            <v>29</v>
          </cell>
          <cell r="O32">
            <v>27</v>
          </cell>
          <cell r="P32">
            <v>9</v>
          </cell>
        </row>
        <row r="33">
          <cell r="A33">
            <v>48</v>
          </cell>
          <cell r="B33">
            <v>1512</v>
          </cell>
          <cell r="C33">
            <v>1512</v>
          </cell>
          <cell r="D33">
            <v>730</v>
          </cell>
          <cell r="E33">
            <v>368</v>
          </cell>
          <cell r="F33">
            <v>35</v>
          </cell>
          <cell r="G33">
            <v>35</v>
          </cell>
          <cell r="H33">
            <v>35</v>
          </cell>
          <cell r="I33">
            <v>35</v>
          </cell>
          <cell r="J33">
            <v>65</v>
          </cell>
          <cell r="K33">
            <v>220</v>
          </cell>
          <cell r="L33">
            <v>65</v>
          </cell>
          <cell r="M33">
            <v>109</v>
          </cell>
          <cell r="N33">
            <v>30</v>
          </cell>
          <cell r="O33">
            <v>28</v>
          </cell>
          <cell r="P33">
            <v>9</v>
          </cell>
        </row>
        <row r="34">
          <cell r="A34">
            <v>54</v>
          </cell>
          <cell r="B34">
            <v>1701</v>
          </cell>
          <cell r="C34">
            <v>1701</v>
          </cell>
          <cell r="D34">
            <v>821</v>
          </cell>
          <cell r="E34">
            <v>414</v>
          </cell>
          <cell r="F34">
            <v>40</v>
          </cell>
          <cell r="G34">
            <v>40</v>
          </cell>
          <cell r="H34">
            <v>40</v>
          </cell>
          <cell r="I34">
            <v>40</v>
          </cell>
          <cell r="J34">
            <v>70</v>
          </cell>
          <cell r="K34">
            <v>250</v>
          </cell>
          <cell r="L34">
            <v>70</v>
          </cell>
          <cell r="M34">
            <v>122</v>
          </cell>
          <cell r="N34">
            <v>34</v>
          </cell>
          <cell r="O34">
            <v>31</v>
          </cell>
          <cell r="P34">
            <v>10</v>
          </cell>
        </row>
        <row r="35">
          <cell r="A35">
            <v>56</v>
          </cell>
          <cell r="B35">
            <v>1764</v>
          </cell>
          <cell r="C35">
            <v>1764</v>
          </cell>
          <cell r="D35">
            <v>851</v>
          </cell>
          <cell r="E35">
            <v>429</v>
          </cell>
          <cell r="F35">
            <v>42</v>
          </cell>
          <cell r="G35">
            <v>42</v>
          </cell>
          <cell r="H35">
            <v>42</v>
          </cell>
          <cell r="I35">
            <v>42</v>
          </cell>
          <cell r="J35">
            <v>73</v>
          </cell>
          <cell r="K35">
            <v>253</v>
          </cell>
          <cell r="L35">
            <v>73</v>
          </cell>
          <cell r="M35">
            <v>127</v>
          </cell>
          <cell r="N35">
            <v>35</v>
          </cell>
          <cell r="O35">
            <v>32</v>
          </cell>
          <cell r="P35">
            <v>10</v>
          </cell>
        </row>
        <row r="36">
          <cell r="A36">
            <v>60</v>
          </cell>
          <cell r="B36">
            <v>1890</v>
          </cell>
          <cell r="C36">
            <v>1890</v>
          </cell>
          <cell r="D36">
            <v>912</v>
          </cell>
          <cell r="E36">
            <v>460</v>
          </cell>
          <cell r="F36">
            <v>45</v>
          </cell>
          <cell r="G36">
            <v>45</v>
          </cell>
          <cell r="H36">
            <v>45</v>
          </cell>
          <cell r="I36">
            <v>45</v>
          </cell>
          <cell r="J36">
            <v>80</v>
          </cell>
          <cell r="K36">
            <v>260</v>
          </cell>
          <cell r="L36">
            <v>80</v>
          </cell>
          <cell r="M36">
            <v>136</v>
          </cell>
          <cell r="N36">
            <v>38</v>
          </cell>
          <cell r="O36">
            <v>35</v>
          </cell>
          <cell r="P36">
            <v>11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Sheet"/>
      <sheetName val="general"/>
      <sheetName val="E. Hem Data"/>
      <sheetName val="Bridge"/>
      <sheetName val="BILAL2"/>
      <sheetName val="Process Data 1"/>
      <sheetName val="DATA1"/>
      <sheetName val="Sheet2"/>
      <sheetName val="Cover"/>
      <sheetName val="Page 2 of 5"/>
      <sheetName val="Page 3 of 5"/>
      <sheetName val="Page 4 of 5"/>
      <sheetName val="Page 5 of 5"/>
      <sheetName val="Process Data"/>
      <sheetName val="Electrical Load List"/>
      <sheetName val="Alternator"/>
      <sheetName val="Sheet No-7 Electrical Consumer "/>
      <sheetName val="Sheet No-6 Measurement list"/>
      <sheetName val="Air Cooler-E"/>
      <sheetName val="TWO PASS"/>
      <sheetName val="THREE PASS"/>
      <sheetName val="Units"/>
      <sheetName val="LC#1"/>
      <sheetName val="Tank2"/>
      <sheetName val="BOQ"/>
      <sheetName val="Settings"/>
      <sheetName val="FIRE"/>
      <sheetName val="Cab_Commodity Code."/>
      <sheetName val="노임단가"/>
      <sheetName val="물량집계(전기)"/>
      <sheetName val="물량집계(계장)"/>
      <sheetName val="Page 1 - Front Sheet"/>
      <sheetName val="PRICE COMP"/>
      <sheetName val="PRICE-COMP"/>
      <sheetName val="COMP- DOUBLE PAGE"/>
      <sheetName val="PUMPS"/>
      <sheetName val="REACTORS"/>
      <sheetName val="AGITATORS"/>
      <sheetName val="names"/>
      <sheetName val="AVS"/>
      <sheetName val="QAP173- "/>
      <sheetName val="M 11"/>
      <sheetName val="Process_Data"/>
      <sheetName val="Electrical_Load_List"/>
      <sheetName val="eq_data"/>
      <sheetName val="MAT"/>
      <sheetName val="PLC BOM"/>
      <sheetName val="PJTGP"/>
      <sheetName val="Data"/>
      <sheetName val="LV induction motors"/>
      <sheetName val="Datasheet"/>
      <sheetName val="Pump Seal Changes"/>
      <sheetName val="Project Details"/>
      <sheetName val="Page4"/>
      <sheetName val="JB Uniqe_Total_OLD"/>
      <sheetName val="DRS_Data"/>
      <sheetName val="Lot-2_Pack"/>
      <sheetName val="MEC"/>
      <sheetName val="CPU Loading SCS1130 "/>
      <sheetName val=""/>
      <sheetName val="Front_Shee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Test Sample"/>
      <sheetName val="Lists"/>
      <sheetName val="Building Blocks"/>
      <sheetName val="cost budget"/>
      <sheetName val="Test_Sample"/>
      <sheetName val="cost_budget"/>
      <sheetName val="Test_Sample1"/>
      <sheetName val="cost_budget1"/>
      <sheetName val="Test_Sample2"/>
      <sheetName val="cost_budget2"/>
      <sheetName val="Test_Sample3"/>
      <sheetName val="cost_budget3"/>
      <sheetName val="Test_Sample4"/>
      <sheetName val="cost_budget4"/>
      <sheetName val="Test_Sample5"/>
      <sheetName val="cost_budget5"/>
      <sheetName val="Test_Sample6"/>
      <sheetName val="cost_budget6"/>
      <sheetName val="Test_Sample7"/>
      <sheetName val="cost_budget7"/>
      <sheetName val="Test_Sample8"/>
      <sheetName val="cost_budget8"/>
      <sheetName val="Test_Sample9"/>
      <sheetName val="cost_budget9"/>
      <sheetName val="Test_Sample10"/>
      <sheetName val="cost_budget10"/>
      <sheetName val="Test_Sample11"/>
      <sheetName val="cost_budget11"/>
      <sheetName val="Inv Reg CHEVRON SANHA"/>
      <sheetName val="AME"/>
      <sheetName val="FF-1"/>
      <sheetName val="Lifeboat"/>
      <sheetName val="FF-6"/>
      <sheetName val="MWBSRate"/>
    </sheetNames>
    <sheetDataSet>
      <sheetData sheetId="0"/>
      <sheetData sheetId="1"/>
      <sheetData sheetId="2">
        <row r="12">
          <cell r="A12" t="str">
            <v>Yes</v>
          </cell>
        </row>
        <row r="13">
          <cell r="A13" t="str">
            <v>No</v>
          </cell>
        </row>
      </sheetData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Kelvin Roberto" id="{3312CE24-F175-49C8-94B6-4F90CB2087F6}" userId="S::kelvin.roberto@exp.com::9285c65a-34e2-4941-9da5-825c438a36cc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12" dT="2021-02-17T20:32:18.37" personId="{3312CE24-F175-49C8-94B6-4F90CB2087F6}" id="{FEE73FFA-3E6A-4AFB-A2DC-59F640AE4386}">
    <text>Formerly 4323</text>
  </threadedComment>
  <threadedComment ref="K113" dT="2021-02-17T20:32:18.37" personId="{3312CE24-F175-49C8-94B6-4F90CB2087F6}" id="{A1B90E3F-D905-4189-B010-12578CEBEC2B}">
    <text>Formerly 4323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66A4A-9C5B-4BA3-910B-B1ADD612E555}">
  <sheetPr codeName="Sheet2">
    <pageSetUpPr fitToPage="1"/>
  </sheetPr>
  <dimension ref="A1:U209"/>
  <sheetViews>
    <sheetView tabSelected="1" topLeftCell="C1" zoomScaleNormal="100" zoomScaleSheetLayoutView="55" workbookViewId="0">
      <pane ySplit="1" topLeftCell="A111" activePane="bottomLeft" state="frozen"/>
      <selection activeCell="J189" sqref="J189"/>
      <selection pane="bottomLeft" activeCell="K1" sqref="K1:L1048576"/>
    </sheetView>
  </sheetViews>
  <sheetFormatPr defaultColWidth="11.3984375" defaultRowHeight="15.6" x14ac:dyDescent="0.3"/>
  <cols>
    <col min="1" max="1" width="9.3984375" style="78" customWidth="1"/>
    <col min="2" max="2" width="21.19921875" style="78" customWidth="1"/>
    <col min="3" max="3" width="43.3984375" style="79" customWidth="1"/>
    <col min="4" max="4" width="36.5" style="79" customWidth="1"/>
    <col min="5" max="5" width="28.69921875" style="78" customWidth="1"/>
    <col min="6" max="6" width="10.69921875" style="78" customWidth="1"/>
    <col min="7" max="7" width="16.09765625" style="78" customWidth="1"/>
    <col min="8" max="8" width="9.09765625" style="78" customWidth="1"/>
    <col min="9" max="9" width="21.09765625" style="78" customWidth="1"/>
    <col min="10" max="10" width="21" style="78" customWidth="1"/>
    <col min="11" max="11" width="18" style="3" customWidth="1"/>
    <col min="12" max="12" width="32.69921875" style="4" customWidth="1"/>
    <col min="13" max="13" width="20.59765625" style="78" customWidth="1"/>
    <col min="14" max="15" width="16.59765625" style="78" customWidth="1"/>
    <col min="16" max="16" width="13.59765625" style="78" customWidth="1"/>
    <col min="17" max="17" width="19.19921875" style="78" customWidth="1"/>
    <col min="18" max="18" width="18.5" style="78" customWidth="1"/>
    <col min="19" max="19" width="16.8984375" style="78" customWidth="1"/>
    <col min="20" max="20" width="18.09765625" style="78" customWidth="1"/>
    <col min="21" max="21" width="14" style="78" customWidth="1"/>
    <col min="22" max="16384" width="11.3984375" style="78"/>
  </cols>
  <sheetData>
    <row r="1" spans="1:21" s="10" customFormat="1" ht="69" customHeight="1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9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</row>
    <row r="2" spans="1:21" s="4" customFormat="1" ht="31.2" x14ac:dyDescent="0.3">
      <c r="A2" s="11">
        <v>1</v>
      </c>
      <c r="B2" s="13" t="s">
        <v>640</v>
      </c>
      <c r="C2" s="14" t="s">
        <v>24</v>
      </c>
      <c r="D2" s="13" t="s">
        <v>25</v>
      </c>
      <c r="E2" s="12" t="s">
        <v>105</v>
      </c>
      <c r="F2" s="12">
        <v>4</v>
      </c>
      <c r="G2" s="12">
        <v>4</v>
      </c>
      <c r="H2" s="12" t="s">
        <v>27</v>
      </c>
      <c r="I2" s="12" t="s">
        <v>83</v>
      </c>
      <c r="J2" s="12" t="s">
        <v>592</v>
      </c>
      <c r="K2" s="15">
        <v>58250</v>
      </c>
      <c r="L2" s="16" t="s">
        <v>28</v>
      </c>
      <c r="M2" s="1"/>
      <c r="N2" s="1"/>
      <c r="O2" s="1"/>
      <c r="P2" s="1"/>
      <c r="Q2" s="1" t="s">
        <v>23</v>
      </c>
      <c r="R2" s="1" t="s">
        <v>23</v>
      </c>
      <c r="S2" s="1" t="s">
        <v>23</v>
      </c>
      <c r="T2" s="1"/>
      <c r="U2" s="1"/>
    </row>
    <row r="3" spans="1:21" s="4" customFormat="1" x14ac:dyDescent="0.3">
      <c r="A3" s="17">
        <v>2</v>
      </c>
      <c r="B3" s="20" t="s">
        <v>33</v>
      </c>
      <c r="C3" s="21" t="s">
        <v>29</v>
      </c>
      <c r="D3" s="20" t="s">
        <v>30</v>
      </c>
      <c r="E3" s="1" t="s">
        <v>31</v>
      </c>
      <c r="F3" s="1">
        <v>1</v>
      </c>
      <c r="G3" s="1">
        <v>1</v>
      </c>
      <c r="H3" s="1" t="s">
        <v>27</v>
      </c>
      <c r="I3" s="1" t="s">
        <v>30</v>
      </c>
      <c r="J3" s="1" t="s">
        <v>506</v>
      </c>
      <c r="K3" s="15">
        <v>56794</v>
      </c>
      <c r="L3" s="2" t="s">
        <v>32</v>
      </c>
      <c r="M3" s="1"/>
      <c r="N3" s="1"/>
      <c r="O3" s="1"/>
      <c r="P3" s="1"/>
      <c r="Q3" s="1" t="s">
        <v>23</v>
      </c>
      <c r="R3" s="1" t="s">
        <v>23</v>
      </c>
      <c r="S3" s="1" t="s">
        <v>23</v>
      </c>
      <c r="T3" s="1"/>
      <c r="U3" s="1"/>
    </row>
    <row r="4" spans="1:21" s="4" customFormat="1" ht="31.2" x14ac:dyDescent="0.3">
      <c r="A4" s="17">
        <v>3</v>
      </c>
      <c r="B4" s="20" t="s">
        <v>641</v>
      </c>
      <c r="C4" s="22" t="s">
        <v>586</v>
      </c>
      <c r="D4" s="20"/>
      <c r="E4" s="1" t="s">
        <v>31</v>
      </c>
      <c r="F4" s="1">
        <v>2</v>
      </c>
      <c r="G4" s="23" t="s">
        <v>46</v>
      </c>
      <c r="H4" s="1" t="s">
        <v>27</v>
      </c>
      <c r="I4" s="1" t="s">
        <v>30</v>
      </c>
      <c r="J4" s="1"/>
      <c r="K4" s="15">
        <v>56794</v>
      </c>
      <c r="L4" s="2" t="s">
        <v>32</v>
      </c>
      <c r="M4" s="1"/>
      <c r="N4" s="1"/>
      <c r="O4" s="1"/>
      <c r="P4" s="1"/>
      <c r="Q4" s="1" t="s">
        <v>23</v>
      </c>
      <c r="R4" s="1" t="s">
        <v>23</v>
      </c>
      <c r="S4" s="1" t="s">
        <v>23</v>
      </c>
      <c r="T4" s="1"/>
      <c r="U4" s="1"/>
    </row>
    <row r="5" spans="1:21" s="4" customFormat="1" ht="31.2" x14ac:dyDescent="0.3">
      <c r="A5" s="17">
        <v>4</v>
      </c>
      <c r="B5" s="20" t="s">
        <v>35</v>
      </c>
      <c r="C5" s="24" t="s">
        <v>34</v>
      </c>
      <c r="D5" s="20" t="s">
        <v>30</v>
      </c>
      <c r="E5" s="1" t="s">
        <v>31</v>
      </c>
      <c r="F5" s="1">
        <v>1</v>
      </c>
      <c r="G5" s="1">
        <v>1</v>
      </c>
      <c r="H5" s="1" t="s">
        <v>27</v>
      </c>
      <c r="I5" s="1" t="s">
        <v>30</v>
      </c>
      <c r="J5" s="1" t="s">
        <v>506</v>
      </c>
      <c r="K5" s="15">
        <v>56794</v>
      </c>
      <c r="L5" s="2" t="s">
        <v>32</v>
      </c>
      <c r="M5" s="1"/>
      <c r="N5" s="1"/>
      <c r="O5" s="1"/>
      <c r="P5" s="1"/>
      <c r="Q5" s="1"/>
      <c r="R5" s="1"/>
      <c r="S5" s="1"/>
      <c r="T5" s="1"/>
      <c r="U5" s="1"/>
    </row>
    <row r="6" spans="1:21" s="4" customFormat="1" ht="31.2" x14ac:dyDescent="0.3">
      <c r="A6" s="17">
        <v>5</v>
      </c>
      <c r="B6" s="20" t="s">
        <v>642</v>
      </c>
      <c r="C6" s="22" t="s">
        <v>585</v>
      </c>
      <c r="D6" s="20"/>
      <c r="E6" s="1" t="s">
        <v>31</v>
      </c>
      <c r="F6" s="1">
        <v>2</v>
      </c>
      <c r="G6" s="23" t="s">
        <v>46</v>
      </c>
      <c r="H6" s="1" t="s">
        <v>27</v>
      </c>
      <c r="I6" s="1" t="s">
        <v>30</v>
      </c>
      <c r="J6" s="1"/>
      <c r="K6" s="15">
        <v>56794</v>
      </c>
      <c r="L6" s="2" t="s">
        <v>32</v>
      </c>
      <c r="M6" s="1"/>
      <c r="N6" s="1"/>
      <c r="O6" s="1"/>
      <c r="P6" s="1"/>
      <c r="Q6" s="1" t="s">
        <v>23</v>
      </c>
      <c r="R6" s="1" t="s">
        <v>23</v>
      </c>
      <c r="S6" s="1" t="s">
        <v>23</v>
      </c>
      <c r="T6" s="1"/>
      <c r="U6" s="1"/>
    </row>
    <row r="7" spans="1:21" s="4" customFormat="1" x14ac:dyDescent="0.3">
      <c r="A7" s="17">
        <v>6</v>
      </c>
      <c r="B7" s="20" t="s">
        <v>41</v>
      </c>
      <c r="C7" s="21" t="s">
        <v>36</v>
      </c>
      <c r="D7" s="20" t="s">
        <v>37</v>
      </c>
      <c r="E7" s="1" t="s">
        <v>38</v>
      </c>
      <c r="F7" s="1">
        <v>1</v>
      </c>
      <c r="G7" s="1">
        <v>1</v>
      </c>
      <c r="H7" s="1" t="s">
        <v>27</v>
      </c>
      <c r="I7" s="1" t="s">
        <v>74</v>
      </c>
      <c r="J7" s="1" t="s">
        <v>507</v>
      </c>
      <c r="K7" s="15">
        <v>52320</v>
      </c>
      <c r="L7" s="2" t="s">
        <v>39</v>
      </c>
      <c r="M7" s="1"/>
      <c r="N7" s="1"/>
      <c r="O7" s="1"/>
      <c r="P7" s="1"/>
      <c r="Q7" s="1"/>
      <c r="R7" s="1"/>
      <c r="S7" s="1"/>
      <c r="T7" s="1"/>
      <c r="U7" s="1"/>
    </row>
    <row r="8" spans="1:21" s="4" customFormat="1" ht="31.2" x14ac:dyDescent="0.3">
      <c r="A8" s="17">
        <v>7</v>
      </c>
      <c r="B8" s="20" t="s">
        <v>643</v>
      </c>
      <c r="C8" s="22" t="s">
        <v>42</v>
      </c>
      <c r="D8" s="20" t="s">
        <v>43</v>
      </c>
      <c r="E8" s="1" t="s">
        <v>38</v>
      </c>
      <c r="F8" s="1">
        <v>1</v>
      </c>
      <c r="G8" s="1">
        <v>1</v>
      </c>
      <c r="H8" s="1" t="s">
        <v>27</v>
      </c>
      <c r="I8" s="1" t="s">
        <v>83</v>
      </c>
      <c r="J8" s="1" t="s">
        <v>508</v>
      </c>
      <c r="K8" s="15">
        <v>52320</v>
      </c>
      <c r="L8" s="2" t="s">
        <v>39</v>
      </c>
      <c r="M8" s="1"/>
      <c r="N8" s="1"/>
      <c r="O8" s="1"/>
      <c r="P8" s="1"/>
      <c r="Q8" s="1" t="s">
        <v>40</v>
      </c>
      <c r="R8" s="1">
        <v>480</v>
      </c>
      <c r="S8" s="1"/>
      <c r="T8" s="1"/>
      <c r="U8" s="1"/>
    </row>
    <row r="9" spans="1:21" s="4" customFormat="1" ht="46.8" x14ac:dyDescent="0.3">
      <c r="A9" s="17">
        <v>8</v>
      </c>
      <c r="B9" s="20" t="s">
        <v>644</v>
      </c>
      <c r="C9" s="22" t="s">
        <v>44</v>
      </c>
      <c r="D9" s="20" t="s">
        <v>45</v>
      </c>
      <c r="E9" s="1" t="s">
        <v>38</v>
      </c>
      <c r="F9" s="1">
        <v>2</v>
      </c>
      <c r="G9" s="25" t="s">
        <v>46</v>
      </c>
      <c r="H9" s="1" t="s">
        <v>27</v>
      </c>
      <c r="I9" s="1" t="s">
        <v>451</v>
      </c>
      <c r="J9" s="1" t="s">
        <v>500</v>
      </c>
      <c r="K9" s="15">
        <v>52320</v>
      </c>
      <c r="L9" s="2" t="s">
        <v>39</v>
      </c>
      <c r="M9" s="1"/>
      <c r="N9" s="1"/>
      <c r="O9" s="1"/>
      <c r="P9" s="1"/>
      <c r="Q9" s="1" t="s">
        <v>21</v>
      </c>
      <c r="R9" s="1" t="s">
        <v>21</v>
      </c>
      <c r="S9" s="1" t="s">
        <v>21</v>
      </c>
      <c r="T9" s="1"/>
      <c r="U9" s="1"/>
    </row>
    <row r="10" spans="1:21" s="4" customFormat="1" ht="31.2" x14ac:dyDescent="0.3">
      <c r="A10" s="17">
        <v>9</v>
      </c>
      <c r="B10" s="20" t="s">
        <v>645</v>
      </c>
      <c r="C10" s="22" t="s">
        <v>47</v>
      </c>
      <c r="D10" s="20" t="s">
        <v>48</v>
      </c>
      <c r="E10" s="1" t="s">
        <v>38</v>
      </c>
      <c r="F10" s="1">
        <v>1</v>
      </c>
      <c r="G10" s="1">
        <v>1</v>
      </c>
      <c r="H10" s="1" t="s">
        <v>27</v>
      </c>
      <c r="I10" s="1" t="s">
        <v>49</v>
      </c>
      <c r="J10" s="1" t="s">
        <v>500</v>
      </c>
      <c r="K10" s="15">
        <v>52320</v>
      </c>
      <c r="L10" s="2" t="s">
        <v>39</v>
      </c>
      <c r="M10" s="1"/>
      <c r="N10" s="1"/>
      <c r="O10" s="1"/>
      <c r="P10" s="1"/>
      <c r="Q10" s="1" t="s">
        <v>21</v>
      </c>
      <c r="R10" s="1" t="s">
        <v>21</v>
      </c>
      <c r="S10" s="1">
        <v>60</v>
      </c>
      <c r="T10" s="1"/>
      <c r="U10" s="1"/>
    </row>
    <row r="11" spans="1:21" s="4" customFormat="1" ht="31.2" x14ac:dyDescent="0.3">
      <c r="A11" s="17">
        <v>10</v>
      </c>
      <c r="B11" s="20" t="s">
        <v>646</v>
      </c>
      <c r="C11" s="22" t="s">
        <v>50</v>
      </c>
      <c r="D11" s="20" t="s">
        <v>51</v>
      </c>
      <c r="E11" s="1" t="s">
        <v>38</v>
      </c>
      <c r="F11" s="1">
        <v>1</v>
      </c>
      <c r="G11" s="1">
        <v>1</v>
      </c>
      <c r="H11" s="1" t="s">
        <v>27</v>
      </c>
      <c r="I11" s="1" t="s">
        <v>52</v>
      </c>
      <c r="J11" s="1" t="s">
        <v>500</v>
      </c>
      <c r="K11" s="15">
        <v>52320</v>
      </c>
      <c r="L11" s="2" t="s">
        <v>39</v>
      </c>
      <c r="M11" s="1"/>
      <c r="N11" s="1"/>
      <c r="O11" s="1"/>
      <c r="P11" s="1"/>
      <c r="Q11" s="1" t="s">
        <v>21</v>
      </c>
      <c r="R11" s="1" t="s">
        <v>21</v>
      </c>
      <c r="S11" s="1">
        <v>60</v>
      </c>
      <c r="T11" s="1"/>
      <c r="U11" s="1"/>
    </row>
    <row r="12" spans="1:21" s="29" customFormat="1" ht="31.2" x14ac:dyDescent="0.3">
      <c r="A12" s="17">
        <v>11</v>
      </c>
      <c r="B12" s="27" t="s">
        <v>647</v>
      </c>
      <c r="C12" s="28" t="s">
        <v>595</v>
      </c>
      <c r="D12" s="27"/>
      <c r="E12" s="26" t="s">
        <v>38</v>
      </c>
      <c r="F12" s="26">
        <v>1</v>
      </c>
      <c r="G12" s="26">
        <v>1</v>
      </c>
      <c r="H12" s="26" t="s">
        <v>27</v>
      </c>
      <c r="I12" s="26"/>
      <c r="J12" s="26"/>
      <c r="K12" s="15">
        <v>52320</v>
      </c>
      <c r="L12" s="2" t="s">
        <v>39</v>
      </c>
      <c r="M12" s="26"/>
      <c r="N12" s="26"/>
      <c r="O12" s="26"/>
      <c r="P12" s="26"/>
      <c r="Q12" s="26"/>
      <c r="R12" s="26"/>
      <c r="S12" s="26"/>
      <c r="T12" s="26"/>
      <c r="U12" s="26"/>
    </row>
    <row r="13" spans="1:21" s="4" customFormat="1" ht="31.2" x14ac:dyDescent="0.3">
      <c r="A13" s="17">
        <v>12</v>
      </c>
      <c r="B13" s="20" t="s">
        <v>648</v>
      </c>
      <c r="C13" s="22" t="s">
        <v>53</v>
      </c>
      <c r="D13" s="20" t="s">
        <v>54</v>
      </c>
      <c r="E13" s="1" t="s">
        <v>38</v>
      </c>
      <c r="F13" s="1">
        <v>1</v>
      </c>
      <c r="G13" s="1">
        <v>1</v>
      </c>
      <c r="H13" s="1" t="s">
        <v>27</v>
      </c>
      <c r="I13" s="1" t="s">
        <v>52</v>
      </c>
      <c r="J13" s="1" t="s">
        <v>509</v>
      </c>
      <c r="K13" s="15">
        <v>52320</v>
      </c>
      <c r="L13" s="2" t="s">
        <v>39</v>
      </c>
      <c r="M13" s="1"/>
      <c r="N13" s="1"/>
      <c r="O13" s="1"/>
      <c r="P13" s="1"/>
      <c r="Q13" s="19" t="s">
        <v>23</v>
      </c>
      <c r="R13" s="19" t="s">
        <v>23</v>
      </c>
      <c r="S13" s="19" t="s">
        <v>23</v>
      </c>
      <c r="T13" s="1"/>
      <c r="U13" s="1"/>
    </row>
    <row r="14" spans="1:21" s="4" customFormat="1" x14ac:dyDescent="0.3">
      <c r="A14" s="17">
        <v>13</v>
      </c>
      <c r="B14" s="20" t="s">
        <v>649</v>
      </c>
      <c r="C14" s="21" t="s">
        <v>55</v>
      </c>
      <c r="D14" s="20" t="s">
        <v>56</v>
      </c>
      <c r="E14" s="1" t="s">
        <v>38</v>
      </c>
      <c r="F14" s="1">
        <v>1</v>
      </c>
      <c r="G14" s="1">
        <v>1</v>
      </c>
      <c r="H14" s="1" t="s">
        <v>27</v>
      </c>
      <c r="I14" s="1" t="s">
        <v>30</v>
      </c>
      <c r="J14" s="1"/>
      <c r="K14" s="15">
        <v>56710</v>
      </c>
      <c r="L14" s="2" t="s">
        <v>57</v>
      </c>
      <c r="M14" s="1"/>
      <c r="N14" s="1"/>
      <c r="O14" s="1"/>
      <c r="P14" s="1"/>
      <c r="Q14" s="19" t="s">
        <v>23</v>
      </c>
      <c r="R14" s="19" t="s">
        <v>23</v>
      </c>
      <c r="S14" s="19" t="s">
        <v>23</v>
      </c>
      <c r="T14" s="1"/>
      <c r="U14" s="1"/>
    </row>
    <row r="15" spans="1:21" s="4" customFormat="1" x14ac:dyDescent="0.3">
      <c r="A15" s="17">
        <v>14</v>
      </c>
      <c r="B15" s="20" t="s">
        <v>650</v>
      </c>
      <c r="C15" s="21" t="s">
        <v>58</v>
      </c>
      <c r="D15" s="20" t="s">
        <v>56</v>
      </c>
      <c r="E15" s="1" t="s">
        <v>38</v>
      </c>
      <c r="F15" s="1">
        <v>1</v>
      </c>
      <c r="G15" s="1">
        <v>1</v>
      </c>
      <c r="H15" s="1" t="s">
        <v>27</v>
      </c>
      <c r="I15" s="1" t="s">
        <v>30</v>
      </c>
      <c r="J15" s="1"/>
      <c r="K15" s="15">
        <v>56710</v>
      </c>
      <c r="L15" s="2" t="s">
        <v>57</v>
      </c>
      <c r="M15" s="1"/>
      <c r="N15" s="1"/>
      <c r="O15" s="1"/>
      <c r="P15" s="1"/>
      <c r="Q15" s="1" t="s">
        <v>21</v>
      </c>
      <c r="R15" s="1" t="s">
        <v>21</v>
      </c>
      <c r="S15" s="1">
        <v>60</v>
      </c>
      <c r="T15" s="1"/>
      <c r="U15" s="1"/>
    </row>
    <row r="16" spans="1:21" s="4" customFormat="1" ht="31.2" x14ac:dyDescent="0.3">
      <c r="A16" s="17">
        <v>15</v>
      </c>
      <c r="B16" s="20" t="s">
        <v>651</v>
      </c>
      <c r="C16" s="21" t="s">
        <v>59</v>
      </c>
      <c r="D16" s="20" t="s">
        <v>60</v>
      </c>
      <c r="E16" s="1" t="s">
        <v>61</v>
      </c>
      <c r="F16" s="1">
        <v>2</v>
      </c>
      <c r="G16" s="1" t="s">
        <v>46</v>
      </c>
      <c r="H16" s="1" t="s">
        <v>27</v>
      </c>
      <c r="I16" s="1" t="s">
        <v>463</v>
      </c>
      <c r="J16" s="26" t="s">
        <v>594</v>
      </c>
      <c r="K16" s="15">
        <v>54165</v>
      </c>
      <c r="L16" s="30" t="s">
        <v>62</v>
      </c>
      <c r="M16" s="1"/>
      <c r="N16" s="1"/>
      <c r="O16" s="1"/>
      <c r="P16" s="1"/>
      <c r="Q16" s="19"/>
      <c r="R16" s="19"/>
      <c r="S16" s="19"/>
      <c r="T16" s="1"/>
      <c r="U16" s="1"/>
    </row>
    <row r="17" spans="1:21" s="4" customFormat="1" ht="17.399999999999999" x14ac:dyDescent="0.3">
      <c r="A17" s="17">
        <v>16</v>
      </c>
      <c r="B17" s="20" t="s">
        <v>652</v>
      </c>
      <c r="C17" s="21" t="s">
        <v>64</v>
      </c>
      <c r="D17" s="20" t="s">
        <v>65</v>
      </c>
      <c r="E17" s="1" t="s">
        <v>66</v>
      </c>
      <c r="F17" s="1">
        <v>1</v>
      </c>
      <c r="G17" s="1">
        <v>1</v>
      </c>
      <c r="H17" s="1" t="s">
        <v>27</v>
      </c>
      <c r="I17" s="1" t="s">
        <v>30</v>
      </c>
      <c r="J17" s="1" t="s">
        <v>510</v>
      </c>
      <c r="K17" s="32">
        <v>54153</v>
      </c>
      <c r="L17" s="33" t="s">
        <v>67</v>
      </c>
      <c r="M17" s="1" t="s">
        <v>63</v>
      </c>
      <c r="N17" s="1"/>
      <c r="O17" s="1">
        <v>300</v>
      </c>
      <c r="P17" s="1">
        <v>149</v>
      </c>
      <c r="Q17" s="1">
        <v>20</v>
      </c>
      <c r="R17" s="1">
        <v>460</v>
      </c>
      <c r="S17" s="1">
        <v>3</v>
      </c>
      <c r="T17" s="1"/>
      <c r="U17" s="1"/>
    </row>
    <row r="18" spans="1:21" s="4" customFormat="1" ht="31.2" x14ac:dyDescent="0.3">
      <c r="A18" s="17">
        <v>17</v>
      </c>
      <c r="B18" s="20" t="s">
        <v>653</v>
      </c>
      <c r="C18" s="21" t="s">
        <v>68</v>
      </c>
      <c r="D18" s="20" t="s">
        <v>60</v>
      </c>
      <c r="E18" s="1" t="s">
        <v>61</v>
      </c>
      <c r="F18" s="1">
        <v>2</v>
      </c>
      <c r="G18" s="1" t="s">
        <v>46</v>
      </c>
      <c r="H18" s="1" t="s">
        <v>27</v>
      </c>
      <c r="I18" s="1" t="s">
        <v>463</v>
      </c>
      <c r="J18" s="26" t="s">
        <v>593</v>
      </c>
      <c r="K18" s="15">
        <v>54165</v>
      </c>
      <c r="L18" s="30" t="s">
        <v>62</v>
      </c>
      <c r="M18" s="1"/>
      <c r="N18" s="1"/>
      <c r="O18" s="1"/>
      <c r="P18" s="1"/>
      <c r="Q18" s="19">
        <v>2</v>
      </c>
      <c r="R18" s="1" t="s">
        <v>21</v>
      </c>
      <c r="S18" s="1">
        <v>60</v>
      </c>
      <c r="T18" s="1"/>
      <c r="U18" s="1"/>
    </row>
    <row r="19" spans="1:21" s="4" customFormat="1" ht="17.399999999999999" x14ac:dyDescent="0.3">
      <c r="A19" s="17">
        <v>18</v>
      </c>
      <c r="B19" s="20" t="s">
        <v>654</v>
      </c>
      <c r="C19" s="21" t="s">
        <v>70</v>
      </c>
      <c r="D19" s="20" t="s">
        <v>30</v>
      </c>
      <c r="E19" s="1" t="s">
        <v>66</v>
      </c>
      <c r="F19" s="1">
        <v>2</v>
      </c>
      <c r="G19" s="1" t="s">
        <v>46</v>
      </c>
      <c r="H19" s="1" t="s">
        <v>27</v>
      </c>
      <c r="I19" s="1" t="s">
        <v>30</v>
      </c>
      <c r="J19" s="1" t="s">
        <v>510</v>
      </c>
      <c r="K19" s="32">
        <v>54153</v>
      </c>
      <c r="L19" s="33" t="s">
        <v>67</v>
      </c>
      <c r="M19" s="1" t="s">
        <v>69</v>
      </c>
      <c r="N19" s="1"/>
      <c r="O19" s="1"/>
      <c r="P19" s="1"/>
      <c r="Q19" s="1">
        <v>30</v>
      </c>
      <c r="R19" s="1">
        <v>460</v>
      </c>
      <c r="S19" s="1">
        <v>3</v>
      </c>
      <c r="T19" s="1"/>
      <c r="U19" s="1"/>
    </row>
    <row r="20" spans="1:21" s="29" customFormat="1" ht="17.399999999999999" x14ac:dyDescent="0.3">
      <c r="A20" s="34">
        <v>18.5</v>
      </c>
      <c r="B20" s="27" t="s">
        <v>655</v>
      </c>
      <c r="C20" s="36" t="s">
        <v>636</v>
      </c>
      <c r="D20" s="27" t="s">
        <v>30</v>
      </c>
      <c r="E20" s="26" t="s">
        <v>66</v>
      </c>
      <c r="F20" s="26">
        <v>2</v>
      </c>
      <c r="G20" s="26" t="s">
        <v>46</v>
      </c>
      <c r="H20" s="26" t="s">
        <v>27</v>
      </c>
      <c r="I20" s="26" t="s">
        <v>30</v>
      </c>
      <c r="J20" s="26"/>
      <c r="K20" s="37">
        <v>54153</v>
      </c>
      <c r="L20" s="33" t="s">
        <v>67</v>
      </c>
      <c r="M20" s="26" t="s">
        <v>637</v>
      </c>
      <c r="N20" s="26"/>
      <c r="O20" s="26"/>
      <c r="P20" s="26"/>
      <c r="Q20" s="26">
        <v>30</v>
      </c>
      <c r="R20" s="26">
        <v>460</v>
      </c>
      <c r="S20" s="26">
        <v>3</v>
      </c>
      <c r="T20" s="26"/>
      <c r="U20" s="26"/>
    </row>
    <row r="21" spans="1:21" s="4" customFormat="1" ht="31.2" x14ac:dyDescent="0.3">
      <c r="A21" s="17">
        <v>19</v>
      </c>
      <c r="B21" s="20" t="s">
        <v>588</v>
      </c>
      <c r="C21" s="21" t="s">
        <v>71</v>
      </c>
      <c r="D21" s="20" t="s">
        <v>72</v>
      </c>
      <c r="E21" s="1" t="s">
        <v>73</v>
      </c>
      <c r="F21" s="1">
        <v>2</v>
      </c>
      <c r="G21" s="1" t="s">
        <v>46</v>
      </c>
      <c r="H21" s="1" t="s">
        <v>27</v>
      </c>
      <c r="I21" s="1" t="s">
        <v>74</v>
      </c>
      <c r="J21" s="1" t="s">
        <v>511</v>
      </c>
      <c r="K21" s="15">
        <v>51220</v>
      </c>
      <c r="L21" s="38" t="s">
        <v>75</v>
      </c>
      <c r="M21" s="1"/>
      <c r="N21" s="1"/>
      <c r="O21" s="1"/>
      <c r="P21" s="1"/>
      <c r="Q21" s="19">
        <v>1</v>
      </c>
      <c r="R21" s="1" t="s">
        <v>21</v>
      </c>
      <c r="S21" s="1">
        <v>60</v>
      </c>
      <c r="T21" s="1"/>
      <c r="U21" s="1"/>
    </row>
    <row r="22" spans="1:21" s="4" customFormat="1" ht="31.2" x14ac:dyDescent="0.3">
      <c r="A22" s="17">
        <v>20</v>
      </c>
      <c r="B22" s="20" t="s">
        <v>656</v>
      </c>
      <c r="C22" s="22" t="s">
        <v>502</v>
      </c>
      <c r="D22" s="20" t="s">
        <v>494</v>
      </c>
      <c r="E22" s="1" t="s">
        <v>76</v>
      </c>
      <c r="F22" s="1">
        <v>1</v>
      </c>
      <c r="G22" s="1">
        <v>1</v>
      </c>
      <c r="H22" s="1" t="s">
        <v>77</v>
      </c>
      <c r="I22" s="1" t="s">
        <v>74</v>
      </c>
      <c r="J22" s="1"/>
      <c r="K22" s="15">
        <v>51710</v>
      </c>
      <c r="L22" s="38" t="s">
        <v>78</v>
      </c>
      <c r="M22" s="1"/>
      <c r="N22" s="1"/>
      <c r="O22" s="1"/>
      <c r="P22" s="1"/>
      <c r="Q22" s="1" t="s">
        <v>23</v>
      </c>
      <c r="R22" s="1" t="s">
        <v>23</v>
      </c>
      <c r="S22" s="1" t="s">
        <v>23</v>
      </c>
      <c r="T22" s="1"/>
      <c r="U22" s="1"/>
    </row>
    <row r="23" spans="1:21" s="4" customFormat="1" x14ac:dyDescent="0.3">
      <c r="A23" s="17">
        <v>21</v>
      </c>
      <c r="B23" s="20" t="s">
        <v>657</v>
      </c>
      <c r="C23" s="21" t="s">
        <v>79</v>
      </c>
      <c r="D23" s="20" t="s">
        <v>80</v>
      </c>
      <c r="E23" s="1" t="s">
        <v>66</v>
      </c>
      <c r="F23" s="1">
        <v>1</v>
      </c>
      <c r="G23" s="1">
        <v>1</v>
      </c>
      <c r="H23" s="1" t="s">
        <v>27</v>
      </c>
      <c r="I23" s="1" t="s">
        <v>577</v>
      </c>
      <c r="J23" s="1" t="s">
        <v>512</v>
      </c>
      <c r="K23" s="37">
        <v>56774</v>
      </c>
      <c r="L23" s="39" t="s">
        <v>632</v>
      </c>
      <c r="M23" s="1"/>
      <c r="N23" s="1"/>
      <c r="O23" s="1"/>
      <c r="P23" s="1"/>
      <c r="Q23" s="1" t="s">
        <v>23</v>
      </c>
      <c r="R23" s="1" t="s">
        <v>23</v>
      </c>
      <c r="S23" s="1" t="s">
        <v>23</v>
      </c>
      <c r="T23" s="1"/>
      <c r="U23" s="1"/>
    </row>
    <row r="24" spans="1:21" s="31" customFormat="1" ht="31.2" x14ac:dyDescent="0.3">
      <c r="A24" s="17">
        <v>22</v>
      </c>
      <c r="B24" s="20" t="s">
        <v>81</v>
      </c>
      <c r="C24" s="21" t="s">
        <v>489</v>
      </c>
      <c r="D24" s="20" t="s">
        <v>490</v>
      </c>
      <c r="E24" s="1" t="s">
        <v>84</v>
      </c>
      <c r="F24" s="1">
        <v>1</v>
      </c>
      <c r="G24" s="1">
        <v>1</v>
      </c>
      <c r="H24" s="1" t="s">
        <v>27</v>
      </c>
      <c r="I24" s="1" t="s">
        <v>30</v>
      </c>
      <c r="J24" s="1"/>
      <c r="K24" s="37" t="s">
        <v>23</v>
      </c>
      <c r="L24" s="39" t="s">
        <v>491</v>
      </c>
      <c r="M24" s="1"/>
      <c r="N24" s="1"/>
      <c r="O24" s="1"/>
      <c r="P24" s="1"/>
      <c r="Q24" s="19" t="s">
        <v>23</v>
      </c>
      <c r="R24" s="19" t="s">
        <v>23</v>
      </c>
      <c r="S24" s="19" t="s">
        <v>23</v>
      </c>
      <c r="T24" s="1"/>
      <c r="U24" s="1"/>
    </row>
    <row r="25" spans="1:21" s="31" customFormat="1" ht="31.2" x14ac:dyDescent="0.3">
      <c r="A25" s="17">
        <v>23</v>
      </c>
      <c r="B25" s="20" t="s">
        <v>658</v>
      </c>
      <c r="C25" s="22" t="s">
        <v>82</v>
      </c>
      <c r="D25" s="40" t="s">
        <v>470</v>
      </c>
      <c r="E25" s="1" t="s">
        <v>84</v>
      </c>
      <c r="F25" s="1">
        <v>1</v>
      </c>
      <c r="G25" s="1">
        <v>1</v>
      </c>
      <c r="H25" s="1" t="s">
        <v>27</v>
      </c>
      <c r="I25" s="1" t="s">
        <v>74</v>
      </c>
      <c r="J25" s="1" t="s">
        <v>513</v>
      </c>
      <c r="K25" s="15">
        <v>53910</v>
      </c>
      <c r="L25" s="2" t="s">
        <v>85</v>
      </c>
      <c r="M25" s="1"/>
      <c r="N25" s="1"/>
      <c r="O25" s="1"/>
      <c r="P25" s="1"/>
      <c r="Q25" s="19"/>
      <c r="R25" s="19"/>
      <c r="S25" s="19"/>
      <c r="T25" s="1"/>
      <c r="U25" s="1"/>
    </row>
    <row r="26" spans="1:21" s="4" customFormat="1" ht="31.2" x14ac:dyDescent="0.3">
      <c r="A26" s="17">
        <v>24</v>
      </c>
      <c r="B26" s="20" t="s">
        <v>659</v>
      </c>
      <c r="C26" s="22" t="s">
        <v>86</v>
      </c>
      <c r="D26" s="20" t="s">
        <v>87</v>
      </c>
      <c r="E26" s="1" t="s">
        <v>88</v>
      </c>
      <c r="F26" s="1" t="s">
        <v>89</v>
      </c>
      <c r="G26" s="1" t="s">
        <v>89</v>
      </c>
      <c r="H26" s="1" t="s">
        <v>27</v>
      </c>
      <c r="I26" s="1" t="s">
        <v>74</v>
      </c>
      <c r="J26" s="1" t="s">
        <v>514</v>
      </c>
      <c r="K26" s="15">
        <v>53910</v>
      </c>
      <c r="L26" s="38" t="s">
        <v>85</v>
      </c>
      <c r="M26" s="1"/>
      <c r="N26" s="1"/>
      <c r="O26" s="1"/>
      <c r="P26" s="1"/>
      <c r="Q26" s="1" t="s">
        <v>23</v>
      </c>
      <c r="R26" s="1" t="s">
        <v>23</v>
      </c>
      <c r="S26" s="1" t="s">
        <v>23</v>
      </c>
      <c r="T26" s="1"/>
      <c r="U26" s="1"/>
    </row>
    <row r="27" spans="1:21" s="4" customFormat="1" ht="31.2" x14ac:dyDescent="0.3">
      <c r="A27" s="17">
        <v>25</v>
      </c>
      <c r="B27" s="27" t="s">
        <v>660</v>
      </c>
      <c r="C27" s="21" t="s">
        <v>638</v>
      </c>
      <c r="D27" s="27" t="s">
        <v>639</v>
      </c>
      <c r="E27" s="1" t="s">
        <v>90</v>
      </c>
      <c r="F27" s="1">
        <v>4</v>
      </c>
      <c r="G27" s="1">
        <v>4</v>
      </c>
      <c r="H27" s="1" t="s">
        <v>27</v>
      </c>
      <c r="I27" s="1" t="s">
        <v>74</v>
      </c>
      <c r="J27" s="1"/>
      <c r="K27" s="15">
        <v>55463</v>
      </c>
      <c r="L27" s="38" t="s">
        <v>91</v>
      </c>
      <c r="M27" s="1"/>
      <c r="N27" s="1"/>
      <c r="O27" s="1"/>
      <c r="P27" s="1"/>
      <c r="Q27" s="1" t="s">
        <v>23</v>
      </c>
      <c r="R27" s="1" t="s">
        <v>23</v>
      </c>
      <c r="S27" s="1" t="s">
        <v>23</v>
      </c>
      <c r="T27" s="1"/>
      <c r="U27" s="1"/>
    </row>
    <row r="28" spans="1:21" s="31" customFormat="1" ht="31.2" x14ac:dyDescent="0.3">
      <c r="A28" s="17">
        <v>26</v>
      </c>
      <c r="B28" s="20" t="s">
        <v>661</v>
      </c>
      <c r="C28" s="21" t="s">
        <v>92</v>
      </c>
      <c r="D28" s="20" t="s">
        <v>568</v>
      </c>
      <c r="E28" s="1" t="s">
        <v>93</v>
      </c>
      <c r="F28" s="1">
        <v>1</v>
      </c>
      <c r="G28" s="1">
        <v>1</v>
      </c>
      <c r="H28" s="1" t="s">
        <v>27</v>
      </c>
      <c r="I28" s="1" t="s">
        <v>596</v>
      </c>
      <c r="J28" s="26" t="s">
        <v>597</v>
      </c>
      <c r="K28" s="15">
        <v>53120</v>
      </c>
      <c r="L28" s="38" t="s">
        <v>95</v>
      </c>
      <c r="M28" s="1"/>
      <c r="N28" s="1"/>
      <c r="O28" s="1"/>
      <c r="P28" s="1"/>
      <c r="Q28" s="19" t="s">
        <v>23</v>
      </c>
      <c r="R28" s="19" t="s">
        <v>23</v>
      </c>
      <c r="S28" s="19" t="s">
        <v>23</v>
      </c>
      <c r="T28" s="1"/>
      <c r="U28" s="1"/>
    </row>
    <row r="29" spans="1:21" s="31" customFormat="1" ht="31.2" x14ac:dyDescent="0.3">
      <c r="A29" s="17">
        <v>27</v>
      </c>
      <c r="B29" s="20" t="s">
        <v>662</v>
      </c>
      <c r="C29" s="21" t="s">
        <v>96</v>
      </c>
      <c r="D29" s="20" t="s">
        <v>568</v>
      </c>
      <c r="E29" s="1" t="s">
        <v>97</v>
      </c>
      <c r="F29" s="1">
        <v>1</v>
      </c>
      <c r="G29" s="1">
        <v>1</v>
      </c>
      <c r="H29" s="1" t="s">
        <v>27</v>
      </c>
      <c r="I29" s="1" t="s">
        <v>596</v>
      </c>
      <c r="J29" s="26" t="s">
        <v>598</v>
      </c>
      <c r="K29" s="15">
        <v>53120</v>
      </c>
      <c r="L29" s="38" t="s">
        <v>95</v>
      </c>
      <c r="M29" s="1"/>
      <c r="N29" s="1"/>
      <c r="O29" s="1"/>
      <c r="P29" s="1"/>
      <c r="Q29" s="19" t="s">
        <v>23</v>
      </c>
      <c r="R29" s="19" t="s">
        <v>23</v>
      </c>
      <c r="S29" s="19" t="s">
        <v>23</v>
      </c>
      <c r="T29" s="1">
        <v>1.54</v>
      </c>
      <c r="U29" s="1">
        <v>690</v>
      </c>
    </row>
    <row r="30" spans="1:21" s="4" customFormat="1" ht="31.2" x14ac:dyDescent="0.3">
      <c r="A30" s="17">
        <v>28</v>
      </c>
      <c r="B30" s="20" t="s">
        <v>663</v>
      </c>
      <c r="C30" s="21" t="s">
        <v>98</v>
      </c>
      <c r="D30" s="20" t="s">
        <v>568</v>
      </c>
      <c r="E30" s="1" t="s">
        <v>99</v>
      </c>
      <c r="F30" s="1">
        <v>1</v>
      </c>
      <c r="G30" s="1">
        <v>1</v>
      </c>
      <c r="H30" s="1" t="s">
        <v>27</v>
      </c>
      <c r="I30" s="1" t="s">
        <v>94</v>
      </c>
      <c r="J30" s="26" t="s">
        <v>598</v>
      </c>
      <c r="K30" s="15">
        <v>53120</v>
      </c>
      <c r="L30" s="38" t="s">
        <v>95</v>
      </c>
      <c r="M30" s="1"/>
      <c r="N30" s="1"/>
      <c r="O30" s="1"/>
      <c r="P30" s="1"/>
      <c r="Q30" s="1" t="s">
        <v>23</v>
      </c>
      <c r="R30" s="1" t="s">
        <v>23</v>
      </c>
      <c r="S30" s="1" t="s">
        <v>23</v>
      </c>
      <c r="T30" s="1">
        <v>1.54</v>
      </c>
      <c r="U30" s="1">
        <v>57</v>
      </c>
    </row>
    <row r="31" spans="1:21" s="4" customFormat="1" ht="46.8" x14ac:dyDescent="0.3">
      <c r="A31" s="17">
        <v>29</v>
      </c>
      <c r="B31" s="20" t="s">
        <v>664</v>
      </c>
      <c r="C31" s="21" t="s">
        <v>101</v>
      </c>
      <c r="D31" s="20" t="s">
        <v>102</v>
      </c>
      <c r="E31" s="1" t="s">
        <v>103</v>
      </c>
      <c r="F31" s="1">
        <v>7</v>
      </c>
      <c r="G31" s="19">
        <v>7</v>
      </c>
      <c r="H31" s="1" t="s">
        <v>27</v>
      </c>
      <c r="I31" s="1" t="s">
        <v>452</v>
      </c>
      <c r="J31" s="1" t="s">
        <v>515</v>
      </c>
      <c r="K31" s="15">
        <v>53210</v>
      </c>
      <c r="L31" s="38" t="s">
        <v>101</v>
      </c>
      <c r="M31" s="1" t="s">
        <v>100</v>
      </c>
      <c r="N31" s="1"/>
      <c r="O31" s="1"/>
      <c r="P31" s="1"/>
      <c r="Q31" s="1" t="s">
        <v>23</v>
      </c>
      <c r="R31" s="1" t="s">
        <v>23</v>
      </c>
      <c r="S31" s="1" t="s">
        <v>23</v>
      </c>
      <c r="T31" s="1">
        <v>2.3199999999999998</v>
      </c>
      <c r="U31" s="1">
        <v>632</v>
      </c>
    </row>
    <row r="32" spans="1:21" s="4" customFormat="1" ht="31.2" x14ac:dyDescent="0.3">
      <c r="A32" s="17">
        <v>30</v>
      </c>
      <c r="B32" s="20" t="s">
        <v>665</v>
      </c>
      <c r="C32" s="21" t="s">
        <v>104</v>
      </c>
      <c r="D32" s="20" t="s">
        <v>25</v>
      </c>
      <c r="E32" s="1" t="s">
        <v>105</v>
      </c>
      <c r="F32" s="1">
        <v>16</v>
      </c>
      <c r="G32" s="1">
        <v>16</v>
      </c>
      <c r="H32" s="1" t="s">
        <v>27</v>
      </c>
      <c r="I32" s="1" t="s">
        <v>83</v>
      </c>
      <c r="J32" s="26" t="s">
        <v>599</v>
      </c>
      <c r="K32" s="15">
        <v>58250</v>
      </c>
      <c r="L32" s="16" t="s">
        <v>28</v>
      </c>
      <c r="M32" s="1"/>
      <c r="N32" s="1"/>
      <c r="O32" s="1"/>
      <c r="P32" s="1"/>
      <c r="Q32" s="1">
        <v>60</v>
      </c>
      <c r="R32" s="1">
        <v>460</v>
      </c>
      <c r="S32" s="1">
        <v>3</v>
      </c>
      <c r="T32" s="1"/>
      <c r="U32" s="1"/>
    </row>
    <row r="33" spans="1:21" s="4" customFormat="1" ht="46.8" x14ac:dyDescent="0.3">
      <c r="A33" s="17">
        <v>31</v>
      </c>
      <c r="B33" s="20" t="s">
        <v>666</v>
      </c>
      <c r="C33" s="21" t="s">
        <v>106</v>
      </c>
      <c r="D33" s="20" t="s">
        <v>493</v>
      </c>
      <c r="E33" s="1" t="s">
        <v>107</v>
      </c>
      <c r="F33" s="1">
        <v>1</v>
      </c>
      <c r="G33" s="1">
        <v>1</v>
      </c>
      <c r="H33" s="1" t="s">
        <v>27</v>
      </c>
      <c r="I33" s="1" t="s">
        <v>455</v>
      </c>
      <c r="J33" s="26" t="s">
        <v>600</v>
      </c>
      <c r="K33" s="15">
        <v>56760</v>
      </c>
      <c r="L33" s="2" t="s">
        <v>106</v>
      </c>
      <c r="M33" s="1"/>
      <c r="N33" s="1"/>
      <c r="O33" s="1"/>
      <c r="P33" s="1"/>
      <c r="Q33" s="1" t="s">
        <v>23</v>
      </c>
      <c r="R33" s="1" t="s">
        <v>23</v>
      </c>
      <c r="S33" s="1" t="s">
        <v>23</v>
      </c>
      <c r="T33" s="1"/>
      <c r="U33" s="1"/>
    </row>
    <row r="34" spans="1:21" s="4" customFormat="1" x14ac:dyDescent="0.3">
      <c r="A34" s="17">
        <v>32</v>
      </c>
      <c r="B34" s="20" t="s">
        <v>667</v>
      </c>
      <c r="C34" s="21" t="s">
        <v>109</v>
      </c>
      <c r="D34" s="20"/>
      <c r="E34" s="1" t="s">
        <v>110</v>
      </c>
      <c r="F34" s="1">
        <v>1</v>
      </c>
      <c r="G34" s="1">
        <v>1</v>
      </c>
      <c r="H34" s="1" t="s">
        <v>27</v>
      </c>
      <c r="I34" s="1" t="s">
        <v>30</v>
      </c>
      <c r="J34" s="1"/>
      <c r="K34" s="15">
        <v>56240</v>
      </c>
      <c r="L34" s="38" t="s">
        <v>111</v>
      </c>
      <c r="M34" s="1" t="s">
        <v>108</v>
      </c>
      <c r="N34" s="1"/>
      <c r="O34" s="1"/>
      <c r="P34" s="1"/>
      <c r="Q34" s="1" t="s">
        <v>23</v>
      </c>
      <c r="R34" s="1" t="s">
        <v>23</v>
      </c>
      <c r="S34" s="1" t="s">
        <v>23</v>
      </c>
      <c r="T34" s="1"/>
      <c r="U34" s="1"/>
    </row>
    <row r="35" spans="1:21" s="4" customFormat="1" ht="31.2" x14ac:dyDescent="0.3">
      <c r="A35" s="17">
        <v>33</v>
      </c>
      <c r="B35" s="20" t="s">
        <v>668</v>
      </c>
      <c r="C35" s="21" t="s">
        <v>112</v>
      </c>
      <c r="D35" s="20" t="s">
        <v>113</v>
      </c>
      <c r="E35" s="1" t="s">
        <v>93</v>
      </c>
      <c r="F35" s="1">
        <v>1</v>
      </c>
      <c r="G35" s="1">
        <v>1</v>
      </c>
      <c r="H35" s="1" t="s">
        <v>27</v>
      </c>
      <c r="I35" s="1" t="s">
        <v>114</v>
      </c>
      <c r="J35" s="26" t="s">
        <v>601</v>
      </c>
      <c r="K35" s="15">
        <v>53120</v>
      </c>
      <c r="L35" s="38" t="s">
        <v>95</v>
      </c>
      <c r="M35" s="1"/>
      <c r="N35" s="1"/>
      <c r="O35" s="1"/>
      <c r="P35" s="1"/>
      <c r="Q35" s="1" t="s">
        <v>23</v>
      </c>
      <c r="R35" s="1" t="s">
        <v>23</v>
      </c>
      <c r="S35" s="1" t="s">
        <v>23</v>
      </c>
      <c r="T35" s="1"/>
      <c r="U35" s="1"/>
    </row>
    <row r="36" spans="1:21" s="4" customFormat="1" x14ac:dyDescent="0.3">
      <c r="A36" s="17">
        <v>34</v>
      </c>
      <c r="B36" s="20" t="s">
        <v>669</v>
      </c>
      <c r="C36" s="21" t="s">
        <v>115</v>
      </c>
      <c r="D36" s="20" t="s">
        <v>56</v>
      </c>
      <c r="E36" s="1" t="s">
        <v>110</v>
      </c>
      <c r="F36" s="1">
        <v>1</v>
      </c>
      <c r="G36" s="1">
        <v>1</v>
      </c>
      <c r="H36" s="1" t="s">
        <v>27</v>
      </c>
      <c r="I36" s="1" t="s">
        <v>30</v>
      </c>
      <c r="J36" s="1"/>
      <c r="K36" s="15">
        <v>56710</v>
      </c>
      <c r="L36" s="2" t="s">
        <v>57</v>
      </c>
      <c r="M36" s="1"/>
      <c r="N36" s="1"/>
      <c r="O36" s="1"/>
      <c r="P36" s="1"/>
      <c r="Q36" s="19" t="s">
        <v>23</v>
      </c>
      <c r="R36" s="19" t="s">
        <v>23</v>
      </c>
      <c r="S36" s="19" t="s">
        <v>23</v>
      </c>
      <c r="T36" s="1">
        <v>13.7</v>
      </c>
      <c r="U36" s="1">
        <v>235</v>
      </c>
    </row>
    <row r="37" spans="1:21" s="31" customFormat="1" ht="31.2" x14ac:dyDescent="0.3">
      <c r="A37" s="17">
        <v>35</v>
      </c>
      <c r="B37" s="20" t="s">
        <v>670</v>
      </c>
      <c r="C37" s="21" t="s">
        <v>123</v>
      </c>
      <c r="D37" s="20" t="s">
        <v>117</v>
      </c>
      <c r="E37" s="1" t="s">
        <v>118</v>
      </c>
      <c r="F37" s="1">
        <v>2</v>
      </c>
      <c r="G37" s="1" t="s">
        <v>119</v>
      </c>
      <c r="H37" s="1" t="s">
        <v>27</v>
      </c>
      <c r="I37" s="1" t="s">
        <v>495</v>
      </c>
      <c r="J37" s="26" t="s">
        <v>602</v>
      </c>
      <c r="K37" s="15">
        <v>54164</v>
      </c>
      <c r="L37" s="41" t="s">
        <v>121</v>
      </c>
      <c r="M37" s="1"/>
      <c r="N37" s="1"/>
      <c r="O37" s="1"/>
      <c r="P37" s="1"/>
      <c r="Q37" s="1"/>
      <c r="R37" s="1"/>
      <c r="S37" s="1"/>
      <c r="T37" s="1"/>
      <c r="U37" s="1"/>
    </row>
    <row r="38" spans="1:21" s="4" customFormat="1" ht="31.2" x14ac:dyDescent="0.3">
      <c r="A38" s="17">
        <v>36</v>
      </c>
      <c r="B38" s="20" t="s">
        <v>671</v>
      </c>
      <c r="C38" s="21" t="s">
        <v>116</v>
      </c>
      <c r="D38" s="20" t="s">
        <v>117</v>
      </c>
      <c r="E38" s="1" t="s">
        <v>118</v>
      </c>
      <c r="F38" s="1">
        <v>2</v>
      </c>
      <c r="G38" s="1" t="s">
        <v>119</v>
      </c>
      <c r="H38" s="1" t="s">
        <v>27</v>
      </c>
      <c r="I38" s="1" t="s">
        <v>495</v>
      </c>
      <c r="J38" s="26" t="s">
        <v>604</v>
      </c>
      <c r="K38" s="15">
        <v>54164</v>
      </c>
      <c r="L38" s="41" t="s">
        <v>121</v>
      </c>
      <c r="M38" s="1">
        <v>1000</v>
      </c>
      <c r="N38" s="1" t="s">
        <v>122</v>
      </c>
      <c r="O38" s="1"/>
      <c r="P38" s="1"/>
      <c r="Q38" s="1">
        <v>250</v>
      </c>
      <c r="R38" s="1">
        <v>4000</v>
      </c>
      <c r="S38" s="1">
        <v>3</v>
      </c>
      <c r="T38" s="1"/>
      <c r="U38" s="1"/>
    </row>
    <row r="39" spans="1:21" s="10" customFormat="1" ht="31.2" x14ac:dyDescent="0.3">
      <c r="A39" s="17">
        <v>37</v>
      </c>
      <c r="B39" s="20" t="s">
        <v>672</v>
      </c>
      <c r="C39" s="21" t="s">
        <v>124</v>
      </c>
      <c r="D39" s="20" t="s">
        <v>125</v>
      </c>
      <c r="E39" s="1" t="s">
        <v>126</v>
      </c>
      <c r="F39" s="1">
        <v>2</v>
      </c>
      <c r="G39" s="1" t="s">
        <v>119</v>
      </c>
      <c r="H39" s="1" t="s">
        <v>27</v>
      </c>
      <c r="I39" s="1" t="s">
        <v>495</v>
      </c>
      <c r="J39" s="26" t="s">
        <v>603</v>
      </c>
      <c r="K39" s="15">
        <v>54164</v>
      </c>
      <c r="L39" s="41" t="s">
        <v>121</v>
      </c>
      <c r="M39" s="1">
        <v>1450</v>
      </c>
      <c r="N39" s="1" t="s">
        <v>122</v>
      </c>
      <c r="O39" s="1"/>
      <c r="P39" s="1"/>
      <c r="Q39" s="1">
        <v>250</v>
      </c>
      <c r="R39" s="1">
        <v>4000</v>
      </c>
      <c r="S39" s="1">
        <v>3</v>
      </c>
      <c r="T39" s="1"/>
      <c r="U39" s="1"/>
    </row>
    <row r="40" spans="1:21" s="4" customFormat="1" ht="31.2" x14ac:dyDescent="0.3">
      <c r="A40" s="17">
        <v>38</v>
      </c>
      <c r="B40" s="20" t="s">
        <v>673</v>
      </c>
      <c r="C40" s="21" t="s">
        <v>128</v>
      </c>
      <c r="D40" s="20" t="s">
        <v>129</v>
      </c>
      <c r="E40" s="1" t="s">
        <v>99</v>
      </c>
      <c r="F40" s="1">
        <v>1</v>
      </c>
      <c r="G40" s="1">
        <v>1</v>
      </c>
      <c r="H40" s="1" t="s">
        <v>27</v>
      </c>
      <c r="I40" s="1" t="s">
        <v>467</v>
      </c>
      <c r="J40" s="1" t="s">
        <v>516</v>
      </c>
      <c r="K40" s="15">
        <v>54168</v>
      </c>
      <c r="L40" s="41" t="s">
        <v>130</v>
      </c>
      <c r="M40" s="1">
        <v>95</v>
      </c>
      <c r="N40" s="1" t="s">
        <v>127</v>
      </c>
      <c r="O40" s="1"/>
      <c r="P40" s="1"/>
      <c r="Q40" s="1">
        <v>75</v>
      </c>
      <c r="R40" s="1">
        <v>460</v>
      </c>
      <c r="S40" s="1">
        <v>3</v>
      </c>
      <c r="T40" s="1"/>
      <c r="U40" s="1"/>
    </row>
    <row r="41" spans="1:21" s="4" customFormat="1" x14ac:dyDescent="0.3">
      <c r="A41" s="17">
        <v>39</v>
      </c>
      <c r="B41" s="20" t="s">
        <v>674</v>
      </c>
      <c r="C41" s="21" t="s">
        <v>132</v>
      </c>
      <c r="D41" s="20" t="s">
        <v>30</v>
      </c>
      <c r="E41" s="1" t="s">
        <v>110</v>
      </c>
      <c r="F41" s="1">
        <v>3</v>
      </c>
      <c r="G41" s="19" t="s">
        <v>133</v>
      </c>
      <c r="H41" s="1" t="s">
        <v>27</v>
      </c>
      <c r="I41" s="1" t="s">
        <v>30</v>
      </c>
      <c r="J41" s="26" t="s">
        <v>605</v>
      </c>
      <c r="K41" s="15">
        <v>54120</v>
      </c>
      <c r="L41" s="41" t="s">
        <v>134</v>
      </c>
      <c r="M41" s="1" t="s">
        <v>131</v>
      </c>
      <c r="N41" s="1"/>
      <c r="O41" s="1"/>
      <c r="P41" s="1"/>
      <c r="Q41" s="1">
        <v>30</v>
      </c>
      <c r="R41" s="1" t="s">
        <v>21</v>
      </c>
      <c r="S41" s="1">
        <v>60</v>
      </c>
      <c r="T41" s="1"/>
      <c r="U41" s="1"/>
    </row>
    <row r="42" spans="1:21" s="4" customFormat="1" x14ac:dyDescent="0.3">
      <c r="A42" s="17">
        <v>40</v>
      </c>
      <c r="B42" s="20" t="s">
        <v>675</v>
      </c>
      <c r="C42" s="24" t="s">
        <v>137</v>
      </c>
      <c r="D42" s="20" t="s">
        <v>65</v>
      </c>
      <c r="E42" s="1" t="s">
        <v>138</v>
      </c>
      <c r="F42" s="1">
        <v>1</v>
      </c>
      <c r="G42" s="1">
        <v>1</v>
      </c>
      <c r="H42" s="1" t="s">
        <v>27</v>
      </c>
      <c r="I42" s="1" t="s">
        <v>30</v>
      </c>
      <c r="J42" s="1" t="s">
        <v>517</v>
      </c>
      <c r="K42" s="32">
        <v>54153</v>
      </c>
      <c r="L42" s="33" t="s">
        <v>67</v>
      </c>
      <c r="M42" s="1" t="s">
        <v>135</v>
      </c>
      <c r="N42" s="1" t="s">
        <v>136</v>
      </c>
      <c r="O42" s="1"/>
      <c r="P42" s="1"/>
      <c r="Q42" s="1">
        <v>350</v>
      </c>
      <c r="R42" s="1">
        <v>4000</v>
      </c>
      <c r="S42" s="1">
        <v>3</v>
      </c>
      <c r="T42" s="1"/>
      <c r="U42" s="1"/>
    </row>
    <row r="43" spans="1:21" s="4" customFormat="1" x14ac:dyDescent="0.3">
      <c r="A43" s="17">
        <v>41</v>
      </c>
      <c r="B43" s="20" t="s">
        <v>676</v>
      </c>
      <c r="C43" s="24" t="s">
        <v>139</v>
      </c>
      <c r="D43" s="20" t="s">
        <v>65</v>
      </c>
      <c r="E43" s="1" t="s">
        <v>138</v>
      </c>
      <c r="F43" s="1">
        <v>2</v>
      </c>
      <c r="G43" s="23" t="s">
        <v>140</v>
      </c>
      <c r="H43" s="1" t="s">
        <v>27</v>
      </c>
      <c r="I43" s="1" t="s">
        <v>30</v>
      </c>
      <c r="J43" s="1" t="s">
        <v>510</v>
      </c>
      <c r="K43" s="32">
        <v>54153</v>
      </c>
      <c r="L43" s="33" t="s">
        <v>67</v>
      </c>
      <c r="M43" s="1"/>
      <c r="N43" s="1"/>
      <c r="O43" s="1"/>
      <c r="P43" s="1"/>
      <c r="Q43" s="19"/>
      <c r="R43" s="19"/>
      <c r="S43" s="19"/>
      <c r="T43" s="1"/>
      <c r="U43" s="1"/>
    </row>
    <row r="44" spans="1:21" s="4" customFormat="1" x14ac:dyDescent="0.3">
      <c r="A44" s="17">
        <v>42</v>
      </c>
      <c r="B44" s="20" t="s">
        <v>145</v>
      </c>
      <c r="C44" s="21" t="s">
        <v>141</v>
      </c>
      <c r="D44" s="20" t="s">
        <v>142</v>
      </c>
      <c r="E44" s="1" t="s">
        <v>118</v>
      </c>
      <c r="F44" s="1">
        <v>1</v>
      </c>
      <c r="G44" s="1">
        <v>1</v>
      </c>
      <c r="H44" s="1" t="s">
        <v>27</v>
      </c>
      <c r="I44" s="1" t="s">
        <v>143</v>
      </c>
      <c r="J44" s="26" t="s">
        <v>606</v>
      </c>
      <c r="K44" s="15">
        <v>51340</v>
      </c>
      <c r="L44" s="33" t="s">
        <v>144</v>
      </c>
      <c r="M44" s="1"/>
      <c r="N44" s="1"/>
      <c r="O44" s="1"/>
      <c r="P44" s="1"/>
      <c r="Q44" s="19"/>
      <c r="R44" s="19"/>
      <c r="S44" s="19"/>
      <c r="T44" s="1"/>
      <c r="U44" s="1"/>
    </row>
    <row r="45" spans="1:21" s="4" customFormat="1" ht="31.2" x14ac:dyDescent="0.3">
      <c r="A45" s="17">
        <v>43</v>
      </c>
      <c r="B45" s="20" t="s">
        <v>677</v>
      </c>
      <c r="C45" s="42" t="s">
        <v>146</v>
      </c>
      <c r="D45" s="20" t="s">
        <v>30</v>
      </c>
      <c r="E45" s="1" t="s">
        <v>118</v>
      </c>
      <c r="F45" s="1">
        <v>1</v>
      </c>
      <c r="G45" s="1">
        <v>1</v>
      </c>
      <c r="H45" s="1" t="s">
        <v>27</v>
      </c>
      <c r="I45" s="1" t="s">
        <v>460</v>
      </c>
      <c r="J45" s="26" t="s">
        <v>608</v>
      </c>
      <c r="K45" s="15">
        <v>56770</v>
      </c>
      <c r="L45" s="38" t="s">
        <v>147</v>
      </c>
      <c r="M45" s="1"/>
      <c r="N45" s="1"/>
      <c r="O45" s="1"/>
      <c r="P45" s="1"/>
      <c r="Q45" s="1" t="s">
        <v>23</v>
      </c>
      <c r="R45" s="1" t="s">
        <v>23</v>
      </c>
      <c r="S45" s="1" t="s">
        <v>23</v>
      </c>
      <c r="T45" s="1"/>
      <c r="U45" s="1"/>
    </row>
    <row r="46" spans="1:21" s="4" customFormat="1" ht="31.2" x14ac:dyDescent="0.3">
      <c r="A46" s="17">
        <v>44</v>
      </c>
      <c r="B46" s="20" t="s">
        <v>678</v>
      </c>
      <c r="C46" s="42" t="s">
        <v>148</v>
      </c>
      <c r="D46" s="20" t="s">
        <v>30</v>
      </c>
      <c r="E46" s="1" t="s">
        <v>118</v>
      </c>
      <c r="F46" s="1">
        <v>1</v>
      </c>
      <c r="G46" s="1">
        <v>1</v>
      </c>
      <c r="H46" s="1" t="s">
        <v>27</v>
      </c>
      <c r="I46" s="1" t="s">
        <v>460</v>
      </c>
      <c r="J46" s="26" t="s">
        <v>607</v>
      </c>
      <c r="K46" s="15">
        <v>56770</v>
      </c>
      <c r="L46" s="38" t="s">
        <v>147</v>
      </c>
      <c r="M46" s="1"/>
      <c r="N46" s="1"/>
      <c r="O46" s="1"/>
      <c r="P46" s="1"/>
      <c r="Q46" s="1" t="s">
        <v>23</v>
      </c>
      <c r="R46" s="1" t="s">
        <v>23</v>
      </c>
      <c r="S46" s="1" t="s">
        <v>23</v>
      </c>
      <c r="T46" s="1"/>
      <c r="U46" s="1"/>
    </row>
    <row r="47" spans="1:21" s="4" customFormat="1" ht="31.2" x14ac:dyDescent="0.3">
      <c r="A47" s="17">
        <v>45</v>
      </c>
      <c r="B47" s="20" t="s">
        <v>679</v>
      </c>
      <c r="C47" s="42" t="s">
        <v>149</v>
      </c>
      <c r="D47" s="20" t="s">
        <v>150</v>
      </c>
      <c r="E47" s="1" t="s">
        <v>118</v>
      </c>
      <c r="F47" s="1">
        <v>1</v>
      </c>
      <c r="G47" s="1">
        <v>1</v>
      </c>
      <c r="H47" s="1" t="s">
        <v>27</v>
      </c>
      <c r="I47" s="1" t="s">
        <v>120</v>
      </c>
      <c r="J47" s="1"/>
      <c r="K47" s="15">
        <v>51650</v>
      </c>
      <c r="L47" s="38" t="s">
        <v>462</v>
      </c>
      <c r="M47" s="1"/>
      <c r="N47" s="1"/>
      <c r="O47" s="1"/>
      <c r="P47" s="1"/>
      <c r="Q47" s="1" t="s">
        <v>23</v>
      </c>
      <c r="R47" s="1" t="s">
        <v>23</v>
      </c>
      <c r="S47" s="1" t="s">
        <v>23</v>
      </c>
      <c r="T47" s="1"/>
      <c r="U47" s="1"/>
    </row>
    <row r="48" spans="1:21" s="4" customFormat="1" ht="31.2" x14ac:dyDescent="0.3">
      <c r="A48" s="17">
        <v>46</v>
      </c>
      <c r="B48" s="20" t="s">
        <v>680</v>
      </c>
      <c r="C48" s="42" t="s">
        <v>461</v>
      </c>
      <c r="D48" s="20" t="s">
        <v>150</v>
      </c>
      <c r="E48" s="1" t="s">
        <v>118</v>
      </c>
      <c r="F48" s="1">
        <v>1</v>
      </c>
      <c r="G48" s="1">
        <v>1</v>
      </c>
      <c r="H48" s="1" t="s">
        <v>27</v>
      </c>
      <c r="I48" s="1" t="s">
        <v>120</v>
      </c>
      <c r="J48" s="1"/>
      <c r="K48" s="15">
        <v>51650</v>
      </c>
      <c r="L48" s="38" t="s">
        <v>462</v>
      </c>
      <c r="M48" s="1"/>
      <c r="N48" s="1"/>
      <c r="O48" s="1"/>
      <c r="P48" s="1"/>
      <c r="Q48" s="1" t="s">
        <v>23</v>
      </c>
      <c r="R48" s="1" t="s">
        <v>23</v>
      </c>
      <c r="S48" s="1" t="s">
        <v>23</v>
      </c>
      <c r="T48" s="1"/>
      <c r="U48" s="1"/>
    </row>
    <row r="49" spans="1:21" s="4" customFormat="1" ht="31.2" x14ac:dyDescent="0.3">
      <c r="A49" s="17">
        <v>47</v>
      </c>
      <c r="B49" s="20" t="s">
        <v>681</v>
      </c>
      <c r="C49" s="42" t="s">
        <v>151</v>
      </c>
      <c r="D49" s="20" t="s">
        <v>150</v>
      </c>
      <c r="E49" s="1" t="s">
        <v>118</v>
      </c>
      <c r="F49" s="1">
        <v>1</v>
      </c>
      <c r="G49" s="1">
        <v>1</v>
      </c>
      <c r="H49" s="1" t="s">
        <v>27</v>
      </c>
      <c r="I49" s="1" t="s">
        <v>120</v>
      </c>
      <c r="J49" s="1"/>
      <c r="K49" s="15">
        <v>51650</v>
      </c>
      <c r="L49" s="38" t="s">
        <v>462</v>
      </c>
      <c r="M49" s="1"/>
      <c r="N49" s="1"/>
      <c r="O49" s="1"/>
      <c r="P49" s="1"/>
      <c r="Q49" s="1" t="s">
        <v>23</v>
      </c>
      <c r="R49" s="1" t="s">
        <v>23</v>
      </c>
      <c r="S49" s="1" t="s">
        <v>23</v>
      </c>
      <c r="T49" s="1"/>
      <c r="U49" s="1"/>
    </row>
    <row r="50" spans="1:21" s="4" customFormat="1" x14ac:dyDescent="0.3">
      <c r="A50" s="17">
        <v>48</v>
      </c>
      <c r="B50" s="20" t="s">
        <v>154</v>
      </c>
      <c r="C50" s="21" t="s">
        <v>152</v>
      </c>
      <c r="D50" s="20" t="s">
        <v>153</v>
      </c>
      <c r="E50" s="1" t="s">
        <v>126</v>
      </c>
      <c r="F50" s="1">
        <v>1</v>
      </c>
      <c r="G50" s="1">
        <v>1</v>
      </c>
      <c r="H50" s="1" t="s">
        <v>27</v>
      </c>
      <c r="I50" s="1" t="s">
        <v>143</v>
      </c>
      <c r="J50" s="1" t="s">
        <v>518</v>
      </c>
      <c r="K50" s="15">
        <v>51340</v>
      </c>
      <c r="L50" s="33" t="s">
        <v>144</v>
      </c>
      <c r="M50" s="1"/>
      <c r="N50" s="1"/>
      <c r="O50" s="1"/>
      <c r="P50" s="1"/>
      <c r="Q50" s="1" t="s">
        <v>23</v>
      </c>
      <c r="R50" s="1" t="s">
        <v>23</v>
      </c>
      <c r="S50" s="1" t="s">
        <v>23</v>
      </c>
      <c r="T50" s="1"/>
      <c r="U50" s="1"/>
    </row>
    <row r="51" spans="1:21" s="4" customFormat="1" ht="31.2" x14ac:dyDescent="0.3">
      <c r="A51" s="17">
        <v>49</v>
      </c>
      <c r="B51" s="20" t="s">
        <v>682</v>
      </c>
      <c r="C51" s="42" t="s">
        <v>461</v>
      </c>
      <c r="D51" s="20" t="s">
        <v>30</v>
      </c>
      <c r="E51" s="1" t="s">
        <v>126</v>
      </c>
      <c r="F51" s="1">
        <v>1</v>
      </c>
      <c r="G51" s="1">
        <v>1</v>
      </c>
      <c r="H51" s="1" t="s">
        <v>27</v>
      </c>
      <c r="I51" s="1" t="s">
        <v>460</v>
      </c>
      <c r="J51" s="1"/>
      <c r="K51" s="15">
        <v>56770</v>
      </c>
      <c r="L51" s="38" t="s">
        <v>147</v>
      </c>
      <c r="M51" s="1"/>
      <c r="N51" s="1"/>
      <c r="O51" s="1"/>
      <c r="P51" s="1"/>
      <c r="Q51" s="1" t="s">
        <v>23</v>
      </c>
      <c r="R51" s="1" t="s">
        <v>23</v>
      </c>
      <c r="S51" s="1" t="s">
        <v>23</v>
      </c>
      <c r="T51" s="1"/>
      <c r="U51" s="1"/>
    </row>
    <row r="52" spans="1:21" s="4" customFormat="1" ht="31.2" x14ac:dyDescent="0.3">
      <c r="A52" s="17">
        <v>50</v>
      </c>
      <c r="B52" s="20" t="s">
        <v>683</v>
      </c>
      <c r="C52" s="21" t="s">
        <v>155</v>
      </c>
      <c r="D52" s="20"/>
      <c r="E52" s="1" t="s">
        <v>110</v>
      </c>
      <c r="F52" s="1">
        <v>1</v>
      </c>
      <c r="G52" s="1">
        <v>1</v>
      </c>
      <c r="H52" s="1" t="s">
        <v>27</v>
      </c>
      <c r="I52" s="1" t="s">
        <v>486</v>
      </c>
      <c r="J52" s="26" t="s">
        <v>609</v>
      </c>
      <c r="K52" s="15">
        <v>51210</v>
      </c>
      <c r="L52" s="2" t="s">
        <v>156</v>
      </c>
      <c r="M52" s="1"/>
      <c r="N52" s="1"/>
      <c r="O52" s="1"/>
      <c r="P52" s="1"/>
      <c r="Q52" s="1" t="s">
        <v>23</v>
      </c>
      <c r="R52" s="1" t="s">
        <v>23</v>
      </c>
      <c r="S52" s="1" t="s">
        <v>23</v>
      </c>
      <c r="T52" s="1"/>
      <c r="U52" s="1"/>
    </row>
    <row r="53" spans="1:21" s="4" customFormat="1" x14ac:dyDescent="0.3">
      <c r="A53" s="17">
        <v>51</v>
      </c>
      <c r="B53" s="20" t="s">
        <v>160</v>
      </c>
      <c r="C53" s="24" t="s">
        <v>157</v>
      </c>
      <c r="D53" s="20" t="s">
        <v>492</v>
      </c>
      <c r="E53" s="1" t="s">
        <v>138</v>
      </c>
      <c r="F53" s="1">
        <v>1</v>
      </c>
      <c r="G53" s="1">
        <v>1</v>
      </c>
      <c r="H53" s="1" t="s">
        <v>27</v>
      </c>
      <c r="I53" s="1" t="s">
        <v>158</v>
      </c>
      <c r="J53" s="43" t="s">
        <v>591</v>
      </c>
      <c r="K53" s="15">
        <v>51119</v>
      </c>
      <c r="L53" s="38" t="s">
        <v>159</v>
      </c>
      <c r="M53" s="1"/>
      <c r="N53" s="1"/>
      <c r="O53" s="1"/>
      <c r="P53" s="1"/>
      <c r="Q53" s="1" t="s">
        <v>23</v>
      </c>
      <c r="R53" s="1" t="s">
        <v>23</v>
      </c>
      <c r="S53" s="1" t="s">
        <v>23</v>
      </c>
      <c r="T53" s="1"/>
      <c r="U53" s="1"/>
    </row>
    <row r="54" spans="1:21" s="4" customFormat="1" ht="31.2" x14ac:dyDescent="0.3">
      <c r="A54" s="17">
        <v>52</v>
      </c>
      <c r="B54" s="20" t="s">
        <v>684</v>
      </c>
      <c r="C54" s="22" t="s">
        <v>161</v>
      </c>
      <c r="D54" s="20"/>
      <c r="E54" s="1" t="s">
        <v>138</v>
      </c>
      <c r="F54" s="1">
        <v>1</v>
      </c>
      <c r="G54" s="1">
        <v>1</v>
      </c>
      <c r="H54" s="1" t="s">
        <v>27</v>
      </c>
      <c r="I54" s="1" t="s">
        <v>30</v>
      </c>
      <c r="J54" s="1"/>
      <c r="K54" s="15">
        <v>52510</v>
      </c>
      <c r="L54" s="38" t="s">
        <v>162</v>
      </c>
      <c r="M54" s="1"/>
      <c r="N54" s="1"/>
      <c r="O54" s="1"/>
      <c r="P54" s="1"/>
      <c r="Q54" s="19"/>
      <c r="R54" s="19"/>
      <c r="S54" s="19"/>
      <c r="T54" s="1"/>
      <c r="U54" s="1"/>
    </row>
    <row r="55" spans="1:21" s="4" customFormat="1" x14ac:dyDescent="0.3">
      <c r="A55" s="17">
        <v>53</v>
      </c>
      <c r="B55" s="20" t="s">
        <v>167</v>
      </c>
      <c r="C55" s="21" t="s">
        <v>163</v>
      </c>
      <c r="D55" s="20" t="s">
        <v>164</v>
      </c>
      <c r="E55" s="1" t="s">
        <v>107</v>
      </c>
      <c r="F55" s="1">
        <v>1</v>
      </c>
      <c r="G55" s="1">
        <v>1</v>
      </c>
      <c r="H55" s="1" t="s">
        <v>27</v>
      </c>
      <c r="I55" s="1" t="s">
        <v>165</v>
      </c>
      <c r="J55" s="1" t="s">
        <v>519</v>
      </c>
      <c r="K55" s="15">
        <v>51112</v>
      </c>
      <c r="L55" s="2" t="s">
        <v>166</v>
      </c>
      <c r="M55" s="1"/>
      <c r="N55" s="1"/>
      <c r="O55" s="1"/>
      <c r="P55" s="1"/>
      <c r="Q55" s="19"/>
      <c r="R55" s="19"/>
      <c r="S55" s="19"/>
      <c r="T55" s="1"/>
      <c r="U55" s="1"/>
    </row>
    <row r="56" spans="1:21" s="4" customFormat="1" ht="31.2" x14ac:dyDescent="0.3">
      <c r="A56" s="17">
        <v>54</v>
      </c>
      <c r="B56" s="20" t="s">
        <v>685</v>
      </c>
      <c r="C56" s="22" t="s">
        <v>578</v>
      </c>
      <c r="D56" s="20" t="s">
        <v>168</v>
      </c>
      <c r="E56" s="1" t="s">
        <v>107</v>
      </c>
      <c r="F56" s="1">
        <v>1</v>
      </c>
      <c r="G56" s="1">
        <v>1</v>
      </c>
      <c r="H56" s="1" t="s">
        <v>579</v>
      </c>
      <c r="I56" s="1" t="s">
        <v>143</v>
      </c>
      <c r="J56" s="1"/>
      <c r="K56" s="15">
        <v>51641</v>
      </c>
      <c r="L56" s="2" t="s">
        <v>170</v>
      </c>
      <c r="M56" s="1"/>
      <c r="N56" s="1"/>
      <c r="O56" s="1"/>
      <c r="P56" s="1"/>
      <c r="Q56" s="1" t="s">
        <v>23</v>
      </c>
      <c r="R56" s="1" t="s">
        <v>23</v>
      </c>
      <c r="S56" s="1" t="s">
        <v>23</v>
      </c>
      <c r="T56" s="1"/>
      <c r="U56" s="1"/>
    </row>
    <row r="57" spans="1:21" s="4" customFormat="1" ht="31.2" x14ac:dyDescent="0.3">
      <c r="A57" s="17">
        <v>55</v>
      </c>
      <c r="B57" s="20" t="s">
        <v>686</v>
      </c>
      <c r="C57" s="22" t="s">
        <v>171</v>
      </c>
      <c r="D57" s="20" t="s">
        <v>172</v>
      </c>
      <c r="E57" s="1" t="s">
        <v>107</v>
      </c>
      <c r="F57" s="1">
        <v>13</v>
      </c>
      <c r="G57" s="1">
        <v>13</v>
      </c>
      <c r="H57" s="1" t="s">
        <v>27</v>
      </c>
      <c r="I57" s="1" t="s">
        <v>173</v>
      </c>
      <c r="J57" s="1" t="s">
        <v>610</v>
      </c>
      <c r="K57" s="15">
        <v>51631</v>
      </c>
      <c r="L57" s="2" t="s">
        <v>174</v>
      </c>
      <c r="M57" s="1"/>
      <c r="N57" s="1"/>
      <c r="O57" s="1"/>
      <c r="P57" s="1"/>
      <c r="Q57" s="1" t="s">
        <v>23</v>
      </c>
      <c r="R57" s="1" t="s">
        <v>23</v>
      </c>
      <c r="S57" s="1" t="s">
        <v>23</v>
      </c>
      <c r="T57" s="1"/>
      <c r="U57" s="1"/>
    </row>
    <row r="58" spans="1:21" s="4" customFormat="1" ht="31.2" x14ac:dyDescent="0.3">
      <c r="A58" s="17">
        <v>56</v>
      </c>
      <c r="B58" s="20" t="s">
        <v>687</v>
      </c>
      <c r="C58" s="22" t="s">
        <v>175</v>
      </c>
      <c r="D58" s="20" t="s">
        <v>176</v>
      </c>
      <c r="E58" s="1" t="s">
        <v>107</v>
      </c>
      <c r="F58" s="1">
        <f>3346+34</f>
        <v>3380</v>
      </c>
      <c r="G58" s="1">
        <f>F58</f>
        <v>3380</v>
      </c>
      <c r="H58" s="1" t="s">
        <v>567</v>
      </c>
      <c r="I58" s="1" t="s">
        <v>177</v>
      </c>
      <c r="J58" s="1" t="s">
        <v>23</v>
      </c>
      <c r="K58" s="15">
        <v>51621</v>
      </c>
      <c r="L58" s="2" t="s">
        <v>178</v>
      </c>
      <c r="M58" s="1"/>
      <c r="N58" s="1"/>
      <c r="O58" s="1"/>
      <c r="P58" s="1"/>
      <c r="Q58" s="1" t="s">
        <v>23</v>
      </c>
      <c r="R58" s="1" t="s">
        <v>23</v>
      </c>
      <c r="S58" s="1" t="s">
        <v>23</v>
      </c>
      <c r="T58" s="1"/>
      <c r="U58" s="1"/>
    </row>
    <row r="59" spans="1:21" s="4" customFormat="1" ht="31.2" x14ac:dyDescent="0.3">
      <c r="A59" s="17">
        <v>57</v>
      </c>
      <c r="B59" s="20" t="s">
        <v>688</v>
      </c>
      <c r="C59" s="22" t="s">
        <v>179</v>
      </c>
      <c r="D59" s="20" t="s">
        <v>466</v>
      </c>
      <c r="E59" s="1" t="s">
        <v>107</v>
      </c>
      <c r="F59" s="1">
        <f>334+145</f>
        <v>479</v>
      </c>
      <c r="G59" s="1">
        <f>F59</f>
        <v>479</v>
      </c>
      <c r="H59" s="1" t="s">
        <v>567</v>
      </c>
      <c r="I59" s="1" t="s">
        <v>177</v>
      </c>
      <c r="J59" s="1" t="s">
        <v>23</v>
      </c>
      <c r="K59" s="15">
        <v>51620</v>
      </c>
      <c r="L59" s="2" t="s">
        <v>180</v>
      </c>
      <c r="M59" s="1"/>
      <c r="N59" s="1"/>
      <c r="O59" s="1"/>
      <c r="P59" s="1"/>
      <c r="Q59" s="1" t="s">
        <v>23</v>
      </c>
      <c r="R59" s="1" t="s">
        <v>23</v>
      </c>
      <c r="S59" s="1" t="s">
        <v>23</v>
      </c>
      <c r="T59" s="1"/>
      <c r="U59" s="1"/>
    </row>
    <row r="60" spans="1:21" s="4" customFormat="1" ht="31.2" x14ac:dyDescent="0.3">
      <c r="A60" s="17">
        <v>58</v>
      </c>
      <c r="B60" s="20" t="s">
        <v>689</v>
      </c>
      <c r="C60" s="22" t="s">
        <v>181</v>
      </c>
      <c r="D60" s="20" t="s">
        <v>182</v>
      </c>
      <c r="E60" s="1" t="s">
        <v>107</v>
      </c>
      <c r="F60" s="1">
        <v>1</v>
      </c>
      <c r="G60" s="1">
        <v>1</v>
      </c>
      <c r="H60" s="1" t="s">
        <v>27</v>
      </c>
      <c r="I60" s="1" t="s">
        <v>169</v>
      </c>
      <c r="J60" s="1"/>
      <c r="K60" s="15">
        <v>51641</v>
      </c>
      <c r="L60" s="2" t="s">
        <v>170</v>
      </c>
      <c r="M60" s="1"/>
      <c r="N60" s="1"/>
      <c r="O60" s="1"/>
      <c r="P60" s="1"/>
      <c r="Q60" s="1" t="s">
        <v>23</v>
      </c>
      <c r="R60" s="1" t="s">
        <v>23</v>
      </c>
      <c r="S60" s="1" t="s">
        <v>23</v>
      </c>
      <c r="T60" s="1"/>
      <c r="U60" s="1"/>
    </row>
    <row r="61" spans="1:21" s="4" customFormat="1" x14ac:dyDescent="0.3">
      <c r="A61" s="17">
        <v>59</v>
      </c>
      <c r="B61" s="20" t="s">
        <v>186</v>
      </c>
      <c r="C61" s="21" t="s">
        <v>183</v>
      </c>
      <c r="D61" s="20" t="s">
        <v>164</v>
      </c>
      <c r="E61" s="1" t="s">
        <v>184</v>
      </c>
      <c r="F61" s="1">
        <v>1</v>
      </c>
      <c r="G61" s="1">
        <v>1</v>
      </c>
      <c r="H61" s="1" t="s">
        <v>27</v>
      </c>
      <c r="I61" s="1" t="s">
        <v>165</v>
      </c>
      <c r="J61" s="26" t="s">
        <v>520</v>
      </c>
      <c r="K61" s="15">
        <v>51112</v>
      </c>
      <c r="L61" s="2" t="s">
        <v>166</v>
      </c>
      <c r="M61" s="1"/>
      <c r="N61" s="1"/>
      <c r="O61" s="1"/>
      <c r="P61" s="1"/>
      <c r="Q61" s="1" t="s">
        <v>23</v>
      </c>
      <c r="R61" s="1" t="s">
        <v>23</v>
      </c>
      <c r="S61" s="1" t="s">
        <v>23</v>
      </c>
      <c r="T61" s="1"/>
      <c r="U61" s="1"/>
    </row>
    <row r="62" spans="1:21" s="4" customFormat="1" ht="31.2" x14ac:dyDescent="0.3">
      <c r="A62" s="17">
        <v>60</v>
      </c>
      <c r="B62" s="20" t="s">
        <v>690</v>
      </c>
      <c r="C62" s="22" t="s">
        <v>187</v>
      </c>
      <c r="D62" s="20" t="s">
        <v>168</v>
      </c>
      <c r="E62" s="1" t="s">
        <v>184</v>
      </c>
      <c r="F62" s="1">
        <v>1</v>
      </c>
      <c r="G62" s="1">
        <v>1</v>
      </c>
      <c r="H62" s="1" t="s">
        <v>579</v>
      </c>
      <c r="I62" s="1" t="s">
        <v>143</v>
      </c>
      <c r="J62" s="1"/>
      <c r="K62" s="15">
        <v>51641</v>
      </c>
      <c r="L62" s="2" t="s">
        <v>170</v>
      </c>
      <c r="M62" s="1" t="s">
        <v>185</v>
      </c>
      <c r="N62" s="1"/>
      <c r="O62" s="1"/>
      <c r="P62" s="1"/>
      <c r="Q62" s="1" t="s">
        <v>23</v>
      </c>
      <c r="R62" s="1" t="s">
        <v>23</v>
      </c>
      <c r="S62" s="1" t="s">
        <v>23</v>
      </c>
      <c r="T62" s="1"/>
      <c r="U62" s="1"/>
    </row>
    <row r="63" spans="1:21" s="4" customFormat="1" ht="31.2" x14ac:dyDescent="0.3">
      <c r="A63" s="17">
        <v>61</v>
      </c>
      <c r="B63" s="20" t="s">
        <v>691</v>
      </c>
      <c r="C63" s="22" t="s">
        <v>188</v>
      </c>
      <c r="D63" s="20" t="s">
        <v>189</v>
      </c>
      <c r="E63" s="1" t="s">
        <v>184</v>
      </c>
      <c r="F63" s="1">
        <v>100</v>
      </c>
      <c r="G63" s="1">
        <v>100</v>
      </c>
      <c r="H63" s="1" t="s">
        <v>27</v>
      </c>
      <c r="I63" s="1" t="s">
        <v>173</v>
      </c>
      <c r="J63" s="26" t="s">
        <v>611</v>
      </c>
      <c r="K63" s="15">
        <v>51631</v>
      </c>
      <c r="L63" s="2" t="s">
        <v>174</v>
      </c>
      <c r="M63" s="1"/>
      <c r="N63" s="1"/>
      <c r="O63" s="1"/>
      <c r="P63" s="1"/>
      <c r="Q63" s="1" t="s">
        <v>23</v>
      </c>
      <c r="R63" s="1" t="s">
        <v>23</v>
      </c>
      <c r="S63" s="1" t="s">
        <v>23</v>
      </c>
      <c r="T63" s="1"/>
      <c r="U63" s="1"/>
    </row>
    <row r="64" spans="1:21" s="4" customFormat="1" ht="31.2" x14ac:dyDescent="0.3">
      <c r="A64" s="17">
        <v>62</v>
      </c>
      <c r="B64" s="20" t="s">
        <v>692</v>
      </c>
      <c r="C64" s="22" t="s">
        <v>190</v>
      </c>
      <c r="D64" s="20" t="s">
        <v>176</v>
      </c>
      <c r="E64" s="1" t="s">
        <v>184</v>
      </c>
      <c r="F64" s="1">
        <f>3987+40</f>
        <v>4027</v>
      </c>
      <c r="G64" s="1">
        <f>F64</f>
        <v>4027</v>
      </c>
      <c r="H64" s="1" t="s">
        <v>567</v>
      </c>
      <c r="I64" s="1" t="s">
        <v>177</v>
      </c>
      <c r="J64" s="1" t="s">
        <v>23</v>
      </c>
      <c r="K64" s="15">
        <v>51621</v>
      </c>
      <c r="L64" s="2" t="s">
        <v>178</v>
      </c>
      <c r="M64" s="1"/>
      <c r="N64" s="1"/>
      <c r="O64" s="1"/>
      <c r="P64" s="1"/>
      <c r="Q64" s="1" t="s">
        <v>23</v>
      </c>
      <c r="R64" s="1" t="s">
        <v>23</v>
      </c>
      <c r="S64" s="1" t="s">
        <v>23</v>
      </c>
      <c r="T64" s="1"/>
      <c r="U64" s="1"/>
    </row>
    <row r="65" spans="1:21" s="4" customFormat="1" ht="31.2" x14ac:dyDescent="0.3">
      <c r="A65" s="17">
        <v>63</v>
      </c>
      <c r="B65" s="20" t="s">
        <v>693</v>
      </c>
      <c r="C65" s="22" t="s">
        <v>191</v>
      </c>
      <c r="D65" s="20" t="s">
        <v>466</v>
      </c>
      <c r="E65" s="1" t="s">
        <v>184</v>
      </c>
      <c r="F65" s="1">
        <f>266+203</f>
        <v>469</v>
      </c>
      <c r="G65" s="1">
        <f>F65</f>
        <v>469</v>
      </c>
      <c r="H65" s="1" t="s">
        <v>567</v>
      </c>
      <c r="I65" s="1" t="s">
        <v>177</v>
      </c>
      <c r="J65" s="1" t="s">
        <v>23</v>
      </c>
      <c r="K65" s="15">
        <v>51620</v>
      </c>
      <c r="L65" s="2" t="s">
        <v>180</v>
      </c>
      <c r="M65" s="1"/>
      <c r="N65" s="1"/>
      <c r="O65" s="1"/>
      <c r="P65" s="1"/>
      <c r="Q65" s="1" t="s">
        <v>23</v>
      </c>
      <c r="R65" s="1" t="s">
        <v>23</v>
      </c>
      <c r="S65" s="1" t="s">
        <v>23</v>
      </c>
      <c r="T65" s="1"/>
      <c r="U65" s="1"/>
    </row>
    <row r="66" spans="1:21" s="4" customFormat="1" ht="31.2" x14ac:dyDescent="0.3">
      <c r="A66" s="17">
        <v>64</v>
      </c>
      <c r="B66" s="20" t="s">
        <v>694</v>
      </c>
      <c r="C66" s="22" t="s">
        <v>192</v>
      </c>
      <c r="D66" s="20" t="s">
        <v>182</v>
      </c>
      <c r="E66" s="1" t="s">
        <v>184</v>
      </c>
      <c r="F66" s="1">
        <v>1</v>
      </c>
      <c r="G66" s="1">
        <v>1</v>
      </c>
      <c r="H66" s="1" t="s">
        <v>27</v>
      </c>
      <c r="I66" s="1" t="s">
        <v>169</v>
      </c>
      <c r="J66" s="1"/>
      <c r="K66" s="15">
        <v>51641</v>
      </c>
      <c r="L66" s="2" t="s">
        <v>170</v>
      </c>
      <c r="M66" s="1"/>
      <c r="N66" s="1"/>
      <c r="O66" s="1"/>
      <c r="P66" s="1"/>
      <c r="Q66" s="1" t="s">
        <v>23</v>
      </c>
      <c r="R66" s="1" t="s">
        <v>23</v>
      </c>
      <c r="S66" s="1" t="s">
        <v>23</v>
      </c>
      <c r="T66" s="1"/>
      <c r="U66" s="1"/>
    </row>
    <row r="67" spans="1:21" s="4" customFormat="1" x14ac:dyDescent="0.3">
      <c r="A67" s="17">
        <v>65</v>
      </c>
      <c r="B67" s="20" t="s">
        <v>197</v>
      </c>
      <c r="C67" s="21" t="s">
        <v>193</v>
      </c>
      <c r="D67" s="20" t="s">
        <v>164</v>
      </c>
      <c r="E67" s="1" t="s">
        <v>194</v>
      </c>
      <c r="F67" s="1">
        <v>1</v>
      </c>
      <c r="G67" s="1">
        <v>1</v>
      </c>
      <c r="H67" s="1" t="s">
        <v>27</v>
      </c>
      <c r="I67" s="1" t="s">
        <v>195</v>
      </c>
      <c r="J67" s="1" t="s">
        <v>566</v>
      </c>
      <c r="K67" s="15">
        <v>51112</v>
      </c>
      <c r="L67" s="2" t="s">
        <v>166</v>
      </c>
      <c r="M67" s="1"/>
      <c r="N67" s="1"/>
      <c r="O67" s="1"/>
      <c r="P67" s="1"/>
      <c r="Q67" s="1" t="s">
        <v>23</v>
      </c>
      <c r="R67" s="1" t="s">
        <v>23</v>
      </c>
      <c r="S67" s="1" t="s">
        <v>23</v>
      </c>
      <c r="T67" s="1"/>
      <c r="U67" s="1"/>
    </row>
    <row r="68" spans="1:21" s="4" customFormat="1" ht="31.2" x14ac:dyDescent="0.3">
      <c r="A68" s="17">
        <v>66</v>
      </c>
      <c r="B68" s="20" t="s">
        <v>695</v>
      </c>
      <c r="C68" s="22" t="s">
        <v>198</v>
      </c>
      <c r="D68" s="20" t="s">
        <v>168</v>
      </c>
      <c r="E68" s="1" t="s">
        <v>194</v>
      </c>
      <c r="F68" s="1">
        <v>1</v>
      </c>
      <c r="G68" s="1">
        <v>1</v>
      </c>
      <c r="H68" s="1" t="s">
        <v>579</v>
      </c>
      <c r="I68" s="1" t="s">
        <v>143</v>
      </c>
      <c r="J68" s="1"/>
      <c r="K68" s="15">
        <v>51641</v>
      </c>
      <c r="L68" s="2" t="s">
        <v>170</v>
      </c>
      <c r="M68" s="1" t="s">
        <v>196</v>
      </c>
      <c r="N68" s="1"/>
      <c r="O68" s="1"/>
      <c r="P68" s="1"/>
      <c r="Q68" s="1" t="s">
        <v>23</v>
      </c>
      <c r="R68" s="1" t="s">
        <v>23</v>
      </c>
      <c r="S68" s="1" t="s">
        <v>23</v>
      </c>
      <c r="T68" s="1"/>
      <c r="U68" s="1"/>
    </row>
    <row r="69" spans="1:21" s="4" customFormat="1" ht="31.2" x14ac:dyDescent="0.3">
      <c r="A69" s="17">
        <v>67</v>
      </c>
      <c r="B69" s="20" t="s">
        <v>696</v>
      </c>
      <c r="C69" s="22" t="s">
        <v>199</v>
      </c>
      <c r="D69" s="20" t="s">
        <v>189</v>
      </c>
      <c r="E69" s="1" t="s">
        <v>194</v>
      </c>
      <c r="F69" s="1">
        <v>31</v>
      </c>
      <c r="G69" s="1">
        <v>31</v>
      </c>
      <c r="H69" s="1" t="s">
        <v>27</v>
      </c>
      <c r="I69" s="1" t="s">
        <v>173</v>
      </c>
      <c r="J69" s="26" t="s">
        <v>611</v>
      </c>
      <c r="K69" s="15">
        <v>51631</v>
      </c>
      <c r="L69" s="2" t="s">
        <v>174</v>
      </c>
      <c r="M69" s="1"/>
      <c r="N69" s="1"/>
      <c r="O69" s="1"/>
      <c r="P69" s="1"/>
      <c r="Q69" s="19"/>
      <c r="R69" s="19"/>
      <c r="S69" s="19"/>
      <c r="T69" s="1"/>
      <c r="U69" s="1"/>
    </row>
    <row r="70" spans="1:21" s="4" customFormat="1" ht="31.2" x14ac:dyDescent="0.3">
      <c r="A70" s="17">
        <v>68</v>
      </c>
      <c r="B70" s="20" t="s">
        <v>697</v>
      </c>
      <c r="C70" s="22" t="s">
        <v>200</v>
      </c>
      <c r="D70" s="20" t="s">
        <v>466</v>
      </c>
      <c r="E70" s="1" t="s">
        <v>194</v>
      </c>
      <c r="F70" s="1">
        <f>230+138</f>
        <v>368</v>
      </c>
      <c r="G70" s="1">
        <f>F70</f>
        <v>368</v>
      </c>
      <c r="H70" s="1" t="s">
        <v>567</v>
      </c>
      <c r="I70" s="1" t="s">
        <v>177</v>
      </c>
      <c r="J70" s="1" t="s">
        <v>23</v>
      </c>
      <c r="K70" s="15">
        <v>51620</v>
      </c>
      <c r="L70" s="2" t="s">
        <v>180</v>
      </c>
      <c r="M70" s="1"/>
      <c r="N70" s="1"/>
      <c r="O70" s="1"/>
      <c r="P70" s="1"/>
      <c r="Q70" s="19" t="s">
        <v>23</v>
      </c>
      <c r="R70" s="19" t="s">
        <v>23</v>
      </c>
      <c r="S70" s="19" t="s">
        <v>23</v>
      </c>
      <c r="T70" s="1"/>
      <c r="U70" s="1"/>
    </row>
    <row r="71" spans="1:21" s="4" customFormat="1" ht="31.2" x14ac:dyDescent="0.3">
      <c r="A71" s="17">
        <v>69</v>
      </c>
      <c r="B71" s="20" t="s">
        <v>698</v>
      </c>
      <c r="C71" s="22" t="s">
        <v>201</v>
      </c>
      <c r="D71" s="20" t="s">
        <v>176</v>
      </c>
      <c r="E71" s="1" t="s">
        <v>194</v>
      </c>
      <c r="F71" s="1">
        <f>2570+26</f>
        <v>2596</v>
      </c>
      <c r="G71" s="1">
        <f>F71</f>
        <v>2596</v>
      </c>
      <c r="H71" s="1" t="s">
        <v>567</v>
      </c>
      <c r="I71" s="1" t="s">
        <v>177</v>
      </c>
      <c r="J71" s="1" t="s">
        <v>23</v>
      </c>
      <c r="K71" s="15">
        <v>51621</v>
      </c>
      <c r="L71" s="2" t="s">
        <v>178</v>
      </c>
      <c r="M71" s="1"/>
      <c r="N71" s="1"/>
      <c r="O71" s="1"/>
      <c r="P71" s="1"/>
      <c r="Q71" s="19" t="s">
        <v>23</v>
      </c>
      <c r="R71" s="19" t="s">
        <v>23</v>
      </c>
      <c r="S71" s="19" t="s">
        <v>23</v>
      </c>
      <c r="T71" s="1"/>
      <c r="U71" s="1"/>
    </row>
    <row r="72" spans="1:21" s="4" customFormat="1" ht="31.2" x14ac:dyDescent="0.3">
      <c r="A72" s="17">
        <v>70</v>
      </c>
      <c r="B72" s="20" t="s">
        <v>699</v>
      </c>
      <c r="C72" s="22" t="s">
        <v>202</v>
      </c>
      <c r="D72" s="20" t="s">
        <v>182</v>
      </c>
      <c r="E72" s="1" t="s">
        <v>194</v>
      </c>
      <c r="F72" s="1">
        <v>1</v>
      </c>
      <c r="G72" s="1">
        <v>1</v>
      </c>
      <c r="H72" s="1" t="s">
        <v>27</v>
      </c>
      <c r="I72" s="1" t="s">
        <v>169</v>
      </c>
      <c r="J72" s="1"/>
      <c r="K72" s="15">
        <v>51641</v>
      </c>
      <c r="L72" s="2" t="s">
        <v>170</v>
      </c>
      <c r="M72" s="1"/>
      <c r="N72" s="1"/>
      <c r="O72" s="1"/>
      <c r="P72" s="1"/>
      <c r="Q72" s="19" t="s">
        <v>23</v>
      </c>
      <c r="R72" s="19" t="s">
        <v>23</v>
      </c>
      <c r="S72" s="19" t="s">
        <v>23</v>
      </c>
      <c r="T72" s="1"/>
      <c r="U72" s="1"/>
    </row>
    <row r="73" spans="1:21" s="4" customFormat="1" ht="31.2" x14ac:dyDescent="0.3">
      <c r="A73" s="17">
        <v>71</v>
      </c>
      <c r="B73" s="20" t="s">
        <v>700</v>
      </c>
      <c r="C73" s="21" t="s">
        <v>104</v>
      </c>
      <c r="D73" s="20" t="s">
        <v>25</v>
      </c>
      <c r="E73" s="1" t="s">
        <v>105</v>
      </c>
      <c r="F73" s="1">
        <v>1</v>
      </c>
      <c r="G73" s="1">
        <v>1</v>
      </c>
      <c r="H73" s="1" t="s">
        <v>27</v>
      </c>
      <c r="I73" s="1" t="s">
        <v>83</v>
      </c>
      <c r="J73" s="26" t="s">
        <v>612</v>
      </c>
      <c r="K73" s="15">
        <v>58250</v>
      </c>
      <c r="L73" s="16" t="s">
        <v>28</v>
      </c>
      <c r="M73" s="1"/>
      <c r="N73" s="1"/>
      <c r="O73" s="1"/>
      <c r="P73" s="1"/>
      <c r="Q73" s="19" t="s">
        <v>23</v>
      </c>
      <c r="R73" s="19" t="s">
        <v>23</v>
      </c>
      <c r="S73" s="19" t="s">
        <v>23</v>
      </c>
      <c r="T73" s="1"/>
      <c r="U73" s="1"/>
    </row>
    <row r="74" spans="1:21" s="4" customFormat="1" ht="46.8" x14ac:dyDescent="0.3">
      <c r="A74" s="17">
        <v>72</v>
      </c>
      <c r="B74" s="20" t="s">
        <v>701</v>
      </c>
      <c r="C74" s="21" t="s">
        <v>204</v>
      </c>
      <c r="D74" s="20" t="s">
        <v>205</v>
      </c>
      <c r="E74" s="1" t="s">
        <v>206</v>
      </c>
      <c r="F74" s="1">
        <v>2</v>
      </c>
      <c r="G74" s="1" t="s">
        <v>46</v>
      </c>
      <c r="H74" s="1" t="s">
        <v>27</v>
      </c>
      <c r="I74" s="1" t="s">
        <v>74</v>
      </c>
      <c r="J74" s="1" t="s">
        <v>521</v>
      </c>
      <c r="K74" s="15">
        <v>54370</v>
      </c>
      <c r="L74" s="38" t="s">
        <v>207</v>
      </c>
      <c r="M74" s="1"/>
      <c r="N74" s="1"/>
      <c r="O74" s="1"/>
      <c r="P74" s="1"/>
      <c r="Q74" s="1" t="s">
        <v>23</v>
      </c>
      <c r="R74" s="1" t="s">
        <v>23</v>
      </c>
      <c r="S74" s="1" t="s">
        <v>23</v>
      </c>
      <c r="T74" s="1"/>
      <c r="U74" s="1"/>
    </row>
    <row r="75" spans="1:21" s="4" customFormat="1" x14ac:dyDescent="0.3">
      <c r="A75" s="17">
        <v>73</v>
      </c>
      <c r="B75" s="20" t="s">
        <v>702</v>
      </c>
      <c r="C75" s="21" t="s">
        <v>208</v>
      </c>
      <c r="D75" s="20" t="s">
        <v>209</v>
      </c>
      <c r="E75" s="1" t="s">
        <v>210</v>
      </c>
      <c r="F75" s="1">
        <v>2</v>
      </c>
      <c r="G75" s="19" t="s">
        <v>46</v>
      </c>
      <c r="H75" s="1" t="s">
        <v>27</v>
      </c>
      <c r="I75" s="1" t="s">
        <v>30</v>
      </c>
      <c r="J75" s="1" t="s">
        <v>543</v>
      </c>
      <c r="K75" s="15">
        <v>54151</v>
      </c>
      <c r="L75" s="41" t="s">
        <v>211</v>
      </c>
      <c r="M75" s="1">
        <v>1262</v>
      </c>
      <c r="N75" s="1"/>
      <c r="O75" s="1"/>
      <c r="P75" s="1"/>
      <c r="Q75" s="1">
        <v>60</v>
      </c>
      <c r="R75" s="1">
        <v>460</v>
      </c>
      <c r="S75" s="1">
        <v>3</v>
      </c>
      <c r="T75" s="1"/>
      <c r="U75" s="1"/>
    </row>
    <row r="76" spans="1:21" s="4" customFormat="1" x14ac:dyDescent="0.3">
      <c r="A76" s="17">
        <v>74</v>
      </c>
      <c r="B76" s="20" t="s">
        <v>217</v>
      </c>
      <c r="C76" s="21" t="s">
        <v>213</v>
      </c>
      <c r="D76" s="20" t="s">
        <v>214</v>
      </c>
      <c r="E76" s="1" t="s">
        <v>215</v>
      </c>
      <c r="F76" s="1">
        <v>1</v>
      </c>
      <c r="G76" s="1">
        <v>1</v>
      </c>
      <c r="H76" s="1" t="s">
        <v>27</v>
      </c>
      <c r="I76" s="1" t="s">
        <v>158</v>
      </c>
      <c r="J76" s="1" t="s">
        <v>522</v>
      </c>
      <c r="K76" s="15">
        <v>51119</v>
      </c>
      <c r="L76" s="38" t="s">
        <v>159</v>
      </c>
      <c r="M76" s="1">
        <v>4939</v>
      </c>
      <c r="N76" s="1" t="s">
        <v>212</v>
      </c>
      <c r="O76" s="1"/>
      <c r="P76" s="1"/>
      <c r="Q76" s="1">
        <v>700</v>
      </c>
      <c r="R76" s="1">
        <v>4000</v>
      </c>
      <c r="S76" s="1">
        <v>3</v>
      </c>
      <c r="T76" s="1"/>
      <c r="U76" s="1"/>
    </row>
    <row r="77" spans="1:21" s="4" customFormat="1" ht="31.2" x14ac:dyDescent="0.3">
      <c r="A77" s="17">
        <v>75</v>
      </c>
      <c r="B77" s="20" t="s">
        <v>703</v>
      </c>
      <c r="C77" s="22" t="s">
        <v>218</v>
      </c>
      <c r="D77" s="20"/>
      <c r="E77" s="1" t="s">
        <v>215</v>
      </c>
      <c r="F77" s="1">
        <v>1</v>
      </c>
      <c r="G77" s="1">
        <v>1</v>
      </c>
      <c r="H77" s="1" t="s">
        <v>27</v>
      </c>
      <c r="I77" s="1" t="s">
        <v>30</v>
      </c>
      <c r="J77" s="1"/>
      <c r="K77" s="15">
        <v>51631</v>
      </c>
      <c r="L77" s="38" t="s">
        <v>174</v>
      </c>
      <c r="M77" s="1" t="s">
        <v>216</v>
      </c>
      <c r="N77" s="1"/>
      <c r="O77" s="1"/>
      <c r="P77" s="1"/>
      <c r="Q77" s="1" t="s">
        <v>23</v>
      </c>
      <c r="R77" s="1" t="s">
        <v>23</v>
      </c>
      <c r="S77" s="1" t="s">
        <v>23</v>
      </c>
      <c r="T77" s="1"/>
      <c r="U77" s="1"/>
    </row>
    <row r="78" spans="1:21" s="10" customFormat="1" ht="31.2" x14ac:dyDescent="0.3">
      <c r="A78" s="17">
        <v>76</v>
      </c>
      <c r="B78" s="20" t="s">
        <v>704</v>
      </c>
      <c r="C78" s="22" t="s">
        <v>219</v>
      </c>
      <c r="D78" s="20"/>
      <c r="E78" s="1" t="s">
        <v>215</v>
      </c>
      <c r="F78" s="1">
        <v>1</v>
      </c>
      <c r="G78" s="1">
        <v>1</v>
      </c>
      <c r="H78" s="1" t="s">
        <v>27</v>
      </c>
      <c r="I78" s="26" t="s">
        <v>614</v>
      </c>
      <c r="J78" s="26" t="s">
        <v>613</v>
      </c>
      <c r="K78" s="15">
        <v>51631</v>
      </c>
      <c r="L78" s="38" t="s">
        <v>174</v>
      </c>
      <c r="M78" s="1"/>
      <c r="N78" s="1"/>
      <c r="O78" s="1"/>
      <c r="P78" s="1"/>
      <c r="Q78" s="1" t="s">
        <v>23</v>
      </c>
      <c r="R78" s="1" t="s">
        <v>23</v>
      </c>
      <c r="S78" s="1" t="s">
        <v>23</v>
      </c>
      <c r="T78" s="1"/>
      <c r="U78" s="1"/>
    </row>
    <row r="79" spans="1:21" s="4" customFormat="1" ht="31.2" x14ac:dyDescent="0.3">
      <c r="A79" s="17">
        <v>77</v>
      </c>
      <c r="B79" s="20" t="s">
        <v>705</v>
      </c>
      <c r="C79" s="22" t="s">
        <v>220</v>
      </c>
      <c r="D79" s="20" t="s">
        <v>221</v>
      </c>
      <c r="E79" s="1" t="s">
        <v>215</v>
      </c>
      <c r="F79" s="1">
        <v>1</v>
      </c>
      <c r="G79" s="1">
        <v>1</v>
      </c>
      <c r="H79" s="1" t="s">
        <v>27</v>
      </c>
      <c r="I79" s="1" t="s">
        <v>158</v>
      </c>
      <c r="J79" s="1" t="s">
        <v>523</v>
      </c>
      <c r="K79" s="15">
        <v>51119</v>
      </c>
      <c r="L79" s="38" t="s">
        <v>159</v>
      </c>
      <c r="M79" s="1"/>
      <c r="N79" s="1"/>
      <c r="O79" s="1"/>
      <c r="P79" s="1"/>
      <c r="Q79" s="1" t="s">
        <v>23</v>
      </c>
      <c r="R79" s="1" t="s">
        <v>23</v>
      </c>
      <c r="S79" s="1" t="s">
        <v>23</v>
      </c>
      <c r="T79" s="1"/>
      <c r="U79" s="1"/>
    </row>
    <row r="80" spans="1:21" s="4" customFormat="1" ht="31.2" x14ac:dyDescent="0.3">
      <c r="A80" s="17">
        <v>78</v>
      </c>
      <c r="B80" s="20" t="s">
        <v>706</v>
      </c>
      <c r="C80" s="22" t="s">
        <v>222</v>
      </c>
      <c r="D80" s="20" t="s">
        <v>221</v>
      </c>
      <c r="E80" s="1" t="s">
        <v>215</v>
      </c>
      <c r="F80" s="1">
        <v>1</v>
      </c>
      <c r="G80" s="1">
        <v>1</v>
      </c>
      <c r="H80" s="1" t="s">
        <v>27</v>
      </c>
      <c r="I80" s="1" t="s">
        <v>496</v>
      </c>
      <c r="J80" s="1" t="s">
        <v>524</v>
      </c>
      <c r="K80" s="44">
        <v>51533</v>
      </c>
      <c r="L80" s="39" t="s">
        <v>223</v>
      </c>
      <c r="M80" s="1"/>
      <c r="N80" s="1"/>
      <c r="O80" s="1"/>
      <c r="P80" s="1"/>
      <c r="Q80" s="1" t="s">
        <v>23</v>
      </c>
      <c r="R80" s="1" t="s">
        <v>23</v>
      </c>
      <c r="S80" s="1" t="s">
        <v>23</v>
      </c>
      <c r="T80" s="1"/>
      <c r="U80" s="1"/>
    </row>
    <row r="81" spans="1:21" s="4" customFormat="1" ht="31.2" x14ac:dyDescent="0.3">
      <c r="A81" s="17">
        <v>79</v>
      </c>
      <c r="B81" s="20" t="s">
        <v>707</v>
      </c>
      <c r="C81" s="22" t="s">
        <v>227</v>
      </c>
      <c r="D81" s="20" t="s">
        <v>30</v>
      </c>
      <c r="E81" s="1" t="s">
        <v>215</v>
      </c>
      <c r="F81" s="1">
        <v>7</v>
      </c>
      <c r="G81" s="1">
        <v>7</v>
      </c>
      <c r="H81" s="1" t="s">
        <v>77</v>
      </c>
      <c r="I81" s="1" t="s">
        <v>30</v>
      </c>
      <c r="J81" s="1"/>
      <c r="K81" s="15">
        <v>51644</v>
      </c>
      <c r="L81" s="38" t="s">
        <v>228</v>
      </c>
      <c r="M81" s="1"/>
      <c r="N81" s="1"/>
      <c r="O81" s="1"/>
      <c r="P81" s="1"/>
      <c r="Q81" s="1" t="s">
        <v>23</v>
      </c>
      <c r="R81" s="1" t="s">
        <v>23</v>
      </c>
      <c r="S81" s="1" t="s">
        <v>23</v>
      </c>
      <c r="T81" s="1"/>
      <c r="U81" s="1"/>
    </row>
    <row r="82" spans="1:21" s="29" customFormat="1" ht="31.2" x14ac:dyDescent="0.3">
      <c r="A82" s="17">
        <v>80</v>
      </c>
      <c r="B82" s="20" t="s">
        <v>708</v>
      </c>
      <c r="C82" s="22" t="s">
        <v>229</v>
      </c>
      <c r="D82" s="20" t="s">
        <v>230</v>
      </c>
      <c r="E82" s="1" t="s">
        <v>215</v>
      </c>
      <c r="F82" s="26">
        <v>23</v>
      </c>
      <c r="G82" s="26" t="s">
        <v>635</v>
      </c>
      <c r="H82" s="1" t="s">
        <v>27</v>
      </c>
      <c r="I82" s="1" t="s">
        <v>231</v>
      </c>
      <c r="J82" s="1"/>
      <c r="K82" s="44">
        <v>51645</v>
      </c>
      <c r="L82" s="39" t="s">
        <v>232</v>
      </c>
      <c r="M82" s="26"/>
      <c r="N82" s="26"/>
      <c r="O82" s="26"/>
      <c r="P82" s="26"/>
      <c r="Q82" s="26"/>
      <c r="R82" s="26"/>
      <c r="S82" s="26"/>
      <c r="T82" s="26"/>
      <c r="U82" s="26"/>
    </row>
    <row r="83" spans="1:21" s="4" customFormat="1" ht="31.2" x14ac:dyDescent="0.3">
      <c r="A83" s="17">
        <v>81</v>
      </c>
      <c r="B83" s="20" t="s">
        <v>709</v>
      </c>
      <c r="C83" s="22" t="s">
        <v>224</v>
      </c>
      <c r="D83" s="20" t="s">
        <v>225</v>
      </c>
      <c r="E83" s="1" t="s">
        <v>215</v>
      </c>
      <c r="F83" s="1">
        <v>1</v>
      </c>
      <c r="G83" s="1">
        <v>1</v>
      </c>
      <c r="H83" s="1" t="s">
        <v>27</v>
      </c>
      <c r="I83" s="1" t="s">
        <v>497</v>
      </c>
      <c r="J83" s="1"/>
      <c r="K83" s="44">
        <v>51545</v>
      </c>
      <c r="L83" s="39" t="s">
        <v>226</v>
      </c>
      <c r="M83" s="1"/>
      <c r="N83" s="1"/>
      <c r="O83" s="1"/>
      <c r="P83" s="1"/>
      <c r="Q83" s="1" t="s">
        <v>23</v>
      </c>
      <c r="R83" s="1" t="s">
        <v>23</v>
      </c>
      <c r="S83" s="1" t="s">
        <v>23</v>
      </c>
      <c r="T83" s="1"/>
      <c r="U83" s="1"/>
    </row>
    <row r="84" spans="1:21" s="31" customFormat="1" x14ac:dyDescent="0.3">
      <c r="A84" s="17">
        <v>82</v>
      </c>
      <c r="B84" s="20" t="s">
        <v>710</v>
      </c>
      <c r="C84" s="21" t="s">
        <v>233</v>
      </c>
      <c r="D84" s="20" t="s">
        <v>54</v>
      </c>
      <c r="E84" s="1" t="s">
        <v>234</v>
      </c>
      <c r="F84" s="1">
        <v>1</v>
      </c>
      <c r="G84" s="1">
        <v>1</v>
      </c>
      <c r="H84" s="1" t="s">
        <v>27</v>
      </c>
      <c r="I84" s="1" t="s">
        <v>235</v>
      </c>
      <c r="J84" s="1" t="s">
        <v>525</v>
      </c>
      <c r="K84" s="15">
        <v>51119</v>
      </c>
      <c r="L84" s="38" t="s">
        <v>159</v>
      </c>
      <c r="M84" s="1"/>
      <c r="N84" s="1"/>
      <c r="O84" s="1"/>
      <c r="P84" s="1"/>
      <c r="Q84" s="19" t="s">
        <v>23</v>
      </c>
      <c r="R84" s="19" t="s">
        <v>23</v>
      </c>
      <c r="S84" s="19" t="s">
        <v>23</v>
      </c>
      <c r="T84" s="1"/>
      <c r="U84" s="1"/>
    </row>
    <row r="85" spans="1:21" s="31" customFormat="1" ht="31.2" x14ac:dyDescent="0.3">
      <c r="A85" s="17">
        <v>83</v>
      </c>
      <c r="B85" s="20" t="s">
        <v>711</v>
      </c>
      <c r="C85" s="21" t="s">
        <v>236</v>
      </c>
      <c r="D85" s="20" t="s">
        <v>464</v>
      </c>
      <c r="E85" s="1" t="s">
        <v>237</v>
      </c>
      <c r="F85" s="1">
        <v>1</v>
      </c>
      <c r="G85" s="1">
        <v>1</v>
      </c>
      <c r="H85" s="1" t="s">
        <v>27</v>
      </c>
      <c r="I85" s="1" t="s">
        <v>465</v>
      </c>
      <c r="J85" s="1" t="s">
        <v>526</v>
      </c>
      <c r="K85" s="44">
        <v>53130</v>
      </c>
      <c r="L85" s="2" t="s">
        <v>238</v>
      </c>
      <c r="M85" s="1"/>
      <c r="N85" s="1"/>
      <c r="O85" s="1"/>
      <c r="P85" s="1"/>
      <c r="Q85" s="1" t="s">
        <v>23</v>
      </c>
      <c r="R85" s="1" t="s">
        <v>23</v>
      </c>
      <c r="S85" s="1" t="s">
        <v>23</v>
      </c>
      <c r="T85" s="1"/>
      <c r="U85" s="1"/>
    </row>
    <row r="86" spans="1:21" s="4" customFormat="1" ht="31.2" x14ac:dyDescent="0.3">
      <c r="A86" s="17">
        <v>84</v>
      </c>
      <c r="B86" s="20" t="s">
        <v>712</v>
      </c>
      <c r="C86" s="21" t="s">
        <v>239</v>
      </c>
      <c r="D86" s="20" t="s">
        <v>464</v>
      </c>
      <c r="E86" s="1" t="s">
        <v>237</v>
      </c>
      <c r="F86" s="1">
        <v>1</v>
      </c>
      <c r="G86" s="1">
        <v>1</v>
      </c>
      <c r="H86" s="1" t="s">
        <v>27</v>
      </c>
      <c r="I86" s="1" t="s">
        <v>465</v>
      </c>
      <c r="J86" s="1" t="s">
        <v>526</v>
      </c>
      <c r="K86" s="44">
        <v>53130</v>
      </c>
      <c r="L86" s="2" t="s">
        <v>238</v>
      </c>
      <c r="M86" s="1"/>
      <c r="N86" s="1"/>
      <c r="O86" s="1"/>
      <c r="P86" s="1"/>
      <c r="Q86" s="1" t="s">
        <v>23</v>
      </c>
      <c r="R86" s="1" t="s">
        <v>23</v>
      </c>
      <c r="S86" s="1" t="s">
        <v>23</v>
      </c>
      <c r="T86" s="1"/>
      <c r="U86" s="1"/>
    </row>
    <row r="87" spans="1:21" s="4" customFormat="1" ht="31.2" x14ac:dyDescent="0.3">
      <c r="A87" s="17">
        <v>85</v>
      </c>
      <c r="B87" s="20" t="s">
        <v>713</v>
      </c>
      <c r="C87" s="21" t="s">
        <v>240</v>
      </c>
      <c r="D87" s="20" t="s">
        <v>464</v>
      </c>
      <c r="E87" s="1" t="s">
        <v>241</v>
      </c>
      <c r="F87" s="1">
        <v>1</v>
      </c>
      <c r="G87" s="1">
        <v>1</v>
      </c>
      <c r="H87" s="1" t="s">
        <v>27</v>
      </c>
      <c r="I87" s="1" t="s">
        <v>465</v>
      </c>
      <c r="J87" s="1" t="s">
        <v>526</v>
      </c>
      <c r="K87" s="44">
        <v>53130</v>
      </c>
      <c r="L87" s="38" t="s">
        <v>238</v>
      </c>
      <c r="M87" s="1"/>
      <c r="N87" s="1"/>
      <c r="O87" s="1"/>
      <c r="P87" s="1"/>
      <c r="Q87" s="1" t="s">
        <v>23</v>
      </c>
      <c r="R87" s="1" t="s">
        <v>23</v>
      </c>
      <c r="S87" s="1" t="s">
        <v>23</v>
      </c>
      <c r="T87" s="1"/>
      <c r="U87" s="1"/>
    </row>
    <row r="88" spans="1:21" s="4" customFormat="1" ht="31.2" x14ac:dyDescent="0.3">
      <c r="A88" s="17">
        <v>86</v>
      </c>
      <c r="B88" s="20" t="s">
        <v>248</v>
      </c>
      <c r="C88" s="21" t="s">
        <v>242</v>
      </c>
      <c r="D88" s="20" t="s">
        <v>243</v>
      </c>
      <c r="E88" s="1" t="s">
        <v>244</v>
      </c>
      <c r="F88" s="1">
        <v>1</v>
      </c>
      <c r="G88" s="1">
        <v>1</v>
      </c>
      <c r="H88" s="1" t="s">
        <v>27</v>
      </c>
      <c r="I88" s="1" t="s">
        <v>245</v>
      </c>
      <c r="J88" s="1" t="s">
        <v>527</v>
      </c>
      <c r="K88" s="15">
        <v>54330</v>
      </c>
      <c r="L88" s="38" t="s">
        <v>246</v>
      </c>
      <c r="M88" s="1"/>
      <c r="N88" s="1"/>
      <c r="O88" s="1"/>
      <c r="P88" s="1"/>
      <c r="Q88" s="1" t="s">
        <v>23</v>
      </c>
      <c r="R88" s="1" t="s">
        <v>23</v>
      </c>
      <c r="S88" s="1" t="s">
        <v>23</v>
      </c>
      <c r="T88" s="1"/>
      <c r="U88" s="1"/>
    </row>
    <row r="89" spans="1:21" s="29" customFormat="1" ht="31.2" x14ac:dyDescent="0.3">
      <c r="A89" s="17">
        <v>87</v>
      </c>
      <c r="B89" s="20" t="s">
        <v>714</v>
      </c>
      <c r="C89" s="22" t="s">
        <v>580</v>
      </c>
      <c r="D89" s="20" t="s">
        <v>581</v>
      </c>
      <c r="E89" s="1" t="s">
        <v>249</v>
      </c>
      <c r="F89" s="1">
        <v>1</v>
      </c>
      <c r="G89" s="1">
        <v>1</v>
      </c>
      <c r="H89" s="1" t="s">
        <v>27</v>
      </c>
      <c r="I89" s="1" t="s">
        <v>250</v>
      </c>
      <c r="J89" s="1"/>
      <c r="K89" s="15">
        <v>54330</v>
      </c>
      <c r="L89" s="2" t="s">
        <v>246</v>
      </c>
      <c r="M89" s="1"/>
      <c r="N89" s="1"/>
      <c r="O89" s="1"/>
      <c r="P89" s="1"/>
      <c r="Q89" s="1" t="s">
        <v>247</v>
      </c>
      <c r="R89" s="1" t="s">
        <v>23</v>
      </c>
      <c r="S89" s="1" t="s">
        <v>23</v>
      </c>
      <c r="T89" s="1"/>
      <c r="U89" s="1"/>
    </row>
    <row r="90" spans="1:21" s="4" customFormat="1" ht="31.2" x14ac:dyDescent="0.3">
      <c r="A90" s="17">
        <v>88</v>
      </c>
      <c r="B90" s="20" t="s">
        <v>715</v>
      </c>
      <c r="C90" s="22" t="s">
        <v>252</v>
      </c>
      <c r="D90" s="20" t="s">
        <v>253</v>
      </c>
      <c r="E90" s="1" t="s">
        <v>254</v>
      </c>
      <c r="F90" s="1">
        <v>1</v>
      </c>
      <c r="G90" s="1">
        <v>1</v>
      </c>
      <c r="H90" s="1" t="s">
        <v>27</v>
      </c>
      <c r="I90" s="1" t="s">
        <v>250</v>
      </c>
      <c r="J90" s="26" t="s">
        <v>615</v>
      </c>
      <c r="K90" s="15">
        <v>54330</v>
      </c>
      <c r="L90" s="2" t="s">
        <v>246</v>
      </c>
      <c r="M90" s="1"/>
      <c r="N90" s="1"/>
      <c r="O90" s="1"/>
      <c r="P90" s="1"/>
      <c r="Q90" s="1" t="s">
        <v>251</v>
      </c>
      <c r="R90" s="1">
        <v>13200</v>
      </c>
      <c r="S90" s="1">
        <v>3</v>
      </c>
      <c r="T90" s="1"/>
      <c r="U90" s="1"/>
    </row>
    <row r="91" spans="1:21" s="4" customFormat="1" ht="31.2" x14ac:dyDescent="0.3">
      <c r="A91" s="17">
        <v>89</v>
      </c>
      <c r="B91" s="20" t="s">
        <v>716</v>
      </c>
      <c r="C91" s="22" t="s">
        <v>255</v>
      </c>
      <c r="D91" s="20" t="s">
        <v>256</v>
      </c>
      <c r="E91" s="1" t="s">
        <v>249</v>
      </c>
      <c r="F91" s="1">
        <v>1</v>
      </c>
      <c r="G91" s="1">
        <v>1</v>
      </c>
      <c r="H91" s="1" t="s">
        <v>27</v>
      </c>
      <c r="I91" s="1" t="s">
        <v>30</v>
      </c>
      <c r="J91" s="26" t="s">
        <v>616</v>
      </c>
      <c r="K91" s="15">
        <v>54330</v>
      </c>
      <c r="L91" s="2" t="s">
        <v>246</v>
      </c>
      <c r="M91" s="1"/>
      <c r="N91" s="1"/>
      <c r="O91" s="1"/>
      <c r="P91" s="1"/>
      <c r="Q91" s="1" t="s">
        <v>251</v>
      </c>
      <c r="R91" s="1">
        <v>13200</v>
      </c>
      <c r="S91" s="1">
        <v>3</v>
      </c>
      <c r="T91" s="1"/>
      <c r="U91" s="1"/>
    </row>
    <row r="92" spans="1:21" s="29" customFormat="1" ht="31.2" x14ac:dyDescent="0.3">
      <c r="A92" s="17">
        <v>90</v>
      </c>
      <c r="B92" s="20" t="s">
        <v>717</v>
      </c>
      <c r="C92" s="22" t="s">
        <v>257</v>
      </c>
      <c r="D92" s="20"/>
      <c r="E92" s="1" t="s">
        <v>258</v>
      </c>
      <c r="F92" s="1">
        <v>1</v>
      </c>
      <c r="G92" s="1">
        <v>1</v>
      </c>
      <c r="H92" s="1" t="s">
        <v>27</v>
      </c>
      <c r="I92" s="1" t="s">
        <v>30</v>
      </c>
      <c r="J92" s="1"/>
      <c r="K92" s="15">
        <v>54330</v>
      </c>
      <c r="L92" s="2" t="s">
        <v>246</v>
      </c>
      <c r="M92" s="1"/>
      <c r="N92" s="1"/>
      <c r="O92" s="1"/>
      <c r="P92" s="1"/>
      <c r="Q92" s="1">
        <v>25</v>
      </c>
      <c r="R92" s="1">
        <v>460</v>
      </c>
      <c r="S92" s="1">
        <v>3</v>
      </c>
      <c r="T92" s="1"/>
      <c r="U92" s="1"/>
    </row>
    <row r="93" spans="1:21" s="4" customFormat="1" ht="31.2" x14ac:dyDescent="0.3">
      <c r="A93" s="17">
        <v>91</v>
      </c>
      <c r="B93" s="20" t="s">
        <v>718</v>
      </c>
      <c r="C93" s="22" t="s">
        <v>259</v>
      </c>
      <c r="D93" s="20" t="s">
        <v>30</v>
      </c>
      <c r="E93" s="1" t="s">
        <v>249</v>
      </c>
      <c r="F93" s="1">
        <v>1</v>
      </c>
      <c r="G93" s="1">
        <v>1</v>
      </c>
      <c r="H93" s="1" t="s">
        <v>27</v>
      </c>
      <c r="I93" s="1" t="s">
        <v>250</v>
      </c>
      <c r="J93" s="1"/>
      <c r="K93" s="15">
        <v>54330</v>
      </c>
      <c r="L93" s="2" t="s">
        <v>246</v>
      </c>
      <c r="M93" s="1"/>
      <c r="N93" s="1"/>
      <c r="O93" s="1"/>
      <c r="P93" s="1"/>
      <c r="Q93" s="1"/>
      <c r="R93" s="1"/>
      <c r="S93" s="1"/>
      <c r="T93" s="1"/>
      <c r="U93" s="1"/>
    </row>
    <row r="94" spans="1:21" s="4" customFormat="1" ht="31.2" x14ac:dyDescent="0.3">
      <c r="A94" s="17">
        <v>92</v>
      </c>
      <c r="B94" s="20" t="s">
        <v>719</v>
      </c>
      <c r="C94" s="22" t="s">
        <v>260</v>
      </c>
      <c r="D94" s="20" t="s">
        <v>30</v>
      </c>
      <c r="E94" s="1" t="s">
        <v>249</v>
      </c>
      <c r="F94" s="1">
        <v>1</v>
      </c>
      <c r="G94" s="1">
        <v>1</v>
      </c>
      <c r="H94" s="1" t="s">
        <v>27</v>
      </c>
      <c r="I94" s="1" t="s">
        <v>250</v>
      </c>
      <c r="J94" s="1"/>
      <c r="K94" s="15">
        <v>54330</v>
      </c>
      <c r="L94" s="2" t="s">
        <v>246</v>
      </c>
      <c r="M94" s="1"/>
      <c r="N94" s="1"/>
      <c r="O94" s="1"/>
      <c r="P94" s="1"/>
      <c r="Q94" s="1" t="s">
        <v>251</v>
      </c>
      <c r="R94" s="1">
        <v>13200</v>
      </c>
      <c r="S94" s="1">
        <v>3</v>
      </c>
      <c r="T94" s="1"/>
      <c r="U94" s="1"/>
    </row>
    <row r="95" spans="1:21" s="4" customFormat="1" x14ac:dyDescent="0.3">
      <c r="A95" s="17">
        <v>93</v>
      </c>
      <c r="B95" s="20" t="s">
        <v>720</v>
      </c>
      <c r="C95" s="20" t="s">
        <v>576</v>
      </c>
      <c r="D95" s="18"/>
      <c r="E95" s="19"/>
      <c r="F95" s="19">
        <v>1</v>
      </c>
      <c r="G95" s="19">
        <v>1</v>
      </c>
      <c r="H95" s="1" t="s">
        <v>27</v>
      </c>
      <c r="I95" s="1" t="s">
        <v>30</v>
      </c>
      <c r="J95" s="1"/>
      <c r="K95" s="32">
        <v>55330</v>
      </c>
      <c r="L95" s="38" t="s">
        <v>22</v>
      </c>
      <c r="M95" s="1"/>
      <c r="N95" s="1"/>
      <c r="O95" s="1"/>
      <c r="P95" s="1"/>
      <c r="Q95" s="1" t="s">
        <v>251</v>
      </c>
      <c r="R95" s="1">
        <v>13200</v>
      </c>
      <c r="S95" s="1">
        <v>3</v>
      </c>
      <c r="T95" s="1"/>
      <c r="U95" s="1"/>
    </row>
    <row r="96" spans="1:21" s="4" customFormat="1" ht="46.8" x14ac:dyDescent="0.3">
      <c r="A96" s="17">
        <v>94</v>
      </c>
      <c r="B96" s="20" t="s">
        <v>265</v>
      </c>
      <c r="C96" s="21" t="s">
        <v>261</v>
      </c>
      <c r="D96" s="20" t="s">
        <v>262</v>
      </c>
      <c r="E96" s="1" t="s">
        <v>237</v>
      </c>
      <c r="F96" s="1">
        <v>1</v>
      </c>
      <c r="G96" s="1">
        <v>1</v>
      </c>
      <c r="H96" s="1" t="s">
        <v>27</v>
      </c>
      <c r="I96" s="1" t="s">
        <v>263</v>
      </c>
      <c r="J96" s="1" t="s">
        <v>565</v>
      </c>
      <c r="K96" s="15">
        <v>53670</v>
      </c>
      <c r="L96" s="38" t="s">
        <v>264</v>
      </c>
      <c r="M96" s="1"/>
      <c r="N96" s="1"/>
      <c r="O96" s="1"/>
      <c r="P96" s="1"/>
      <c r="Q96" s="1" t="s">
        <v>23</v>
      </c>
      <c r="R96" s="1" t="s">
        <v>23</v>
      </c>
      <c r="S96" s="1" t="s">
        <v>23</v>
      </c>
      <c r="T96" s="1">
        <v>69.400000000000006</v>
      </c>
      <c r="U96" s="1">
        <v>2545</v>
      </c>
    </row>
    <row r="97" spans="1:21" s="4" customFormat="1" ht="31.2" x14ac:dyDescent="0.3">
      <c r="A97" s="17">
        <v>95</v>
      </c>
      <c r="B97" s="20" t="s">
        <v>721</v>
      </c>
      <c r="C97" s="22" t="s">
        <v>266</v>
      </c>
      <c r="D97" s="20" t="s">
        <v>30</v>
      </c>
      <c r="E97" s="1" t="s">
        <v>237</v>
      </c>
      <c r="F97" s="1" t="s">
        <v>267</v>
      </c>
      <c r="G97" s="1" t="s">
        <v>267</v>
      </c>
      <c r="H97" s="1" t="s">
        <v>27</v>
      </c>
      <c r="I97" s="1" t="s">
        <v>569</v>
      </c>
      <c r="J97" s="1"/>
      <c r="K97" s="15">
        <v>56800</v>
      </c>
      <c r="L97" s="2" t="s">
        <v>268</v>
      </c>
      <c r="M97" s="1"/>
      <c r="N97" s="1"/>
      <c r="O97" s="1"/>
      <c r="P97" s="1"/>
      <c r="Q97" s="1" t="s">
        <v>23</v>
      </c>
      <c r="R97" s="1" t="s">
        <v>23</v>
      </c>
      <c r="S97" s="1" t="s">
        <v>23</v>
      </c>
      <c r="T97" s="1"/>
      <c r="U97" s="1"/>
    </row>
    <row r="98" spans="1:21" s="4" customFormat="1" ht="31.2" x14ac:dyDescent="0.3">
      <c r="A98" s="17">
        <v>96</v>
      </c>
      <c r="B98" s="20" t="s">
        <v>722</v>
      </c>
      <c r="C98" s="22" t="s">
        <v>269</v>
      </c>
      <c r="D98" s="20" t="s">
        <v>270</v>
      </c>
      <c r="E98" s="1" t="s">
        <v>237</v>
      </c>
      <c r="F98" s="1">
        <v>1</v>
      </c>
      <c r="G98" s="1">
        <v>1</v>
      </c>
      <c r="H98" s="1" t="s">
        <v>27</v>
      </c>
      <c r="I98" s="1" t="s">
        <v>74</v>
      </c>
      <c r="J98" s="1" t="s">
        <v>544</v>
      </c>
      <c r="K98" s="15">
        <v>53670</v>
      </c>
      <c r="L98" s="38" t="s">
        <v>264</v>
      </c>
      <c r="M98" s="1"/>
      <c r="N98" s="1"/>
      <c r="O98" s="1"/>
      <c r="P98" s="1"/>
      <c r="Q98" s="1" t="s">
        <v>23</v>
      </c>
      <c r="R98" s="1" t="s">
        <v>23</v>
      </c>
      <c r="S98" s="1" t="s">
        <v>23</v>
      </c>
      <c r="T98" s="1"/>
      <c r="U98" s="1"/>
    </row>
    <row r="99" spans="1:21" s="4" customFormat="1" x14ac:dyDescent="0.3">
      <c r="A99" s="17">
        <v>97</v>
      </c>
      <c r="B99" s="20" t="s">
        <v>273</v>
      </c>
      <c r="C99" s="21" t="s">
        <v>271</v>
      </c>
      <c r="D99" s="20" t="s">
        <v>30</v>
      </c>
      <c r="E99" s="1" t="s">
        <v>272</v>
      </c>
      <c r="F99" s="1">
        <v>1</v>
      </c>
      <c r="G99" s="1">
        <v>1</v>
      </c>
      <c r="H99" s="1" t="s">
        <v>27</v>
      </c>
      <c r="I99" s="1" t="s">
        <v>74</v>
      </c>
      <c r="J99" s="1" t="s">
        <v>545</v>
      </c>
      <c r="K99" s="15">
        <v>53670</v>
      </c>
      <c r="L99" s="38" t="s">
        <v>264</v>
      </c>
      <c r="M99" s="1"/>
      <c r="N99" s="1"/>
      <c r="O99" s="1"/>
      <c r="P99" s="1"/>
      <c r="Q99" s="1" t="s">
        <v>23</v>
      </c>
      <c r="R99" s="1" t="s">
        <v>23</v>
      </c>
      <c r="S99" s="1" t="s">
        <v>23</v>
      </c>
      <c r="T99" s="1">
        <v>7.7</v>
      </c>
      <c r="U99" s="1">
        <v>2945</v>
      </c>
    </row>
    <row r="100" spans="1:21" s="4" customFormat="1" ht="31.2" x14ac:dyDescent="0.3">
      <c r="A100" s="17">
        <v>98</v>
      </c>
      <c r="B100" s="20" t="s">
        <v>723</v>
      </c>
      <c r="C100" s="22" t="s">
        <v>274</v>
      </c>
      <c r="D100" s="20" t="s">
        <v>30</v>
      </c>
      <c r="E100" s="1" t="s">
        <v>272</v>
      </c>
      <c r="F100" s="1" t="s">
        <v>275</v>
      </c>
      <c r="G100" s="1" t="s">
        <v>275</v>
      </c>
      <c r="H100" s="1" t="s">
        <v>27</v>
      </c>
      <c r="I100" s="1" t="s">
        <v>569</v>
      </c>
      <c r="J100" s="1"/>
      <c r="K100" s="15">
        <v>56800</v>
      </c>
      <c r="L100" s="2" t="s">
        <v>268</v>
      </c>
      <c r="M100" s="1"/>
      <c r="N100" s="1"/>
      <c r="O100" s="1"/>
      <c r="P100" s="1"/>
      <c r="Q100" s="1" t="s">
        <v>23</v>
      </c>
      <c r="R100" s="1" t="s">
        <v>23</v>
      </c>
      <c r="S100" s="1" t="s">
        <v>23</v>
      </c>
      <c r="T100" s="1"/>
      <c r="U100" s="1"/>
    </row>
    <row r="101" spans="1:21" s="4" customFormat="1" x14ac:dyDescent="0.3">
      <c r="A101" s="17">
        <v>99</v>
      </c>
      <c r="B101" s="20" t="s">
        <v>279</v>
      </c>
      <c r="C101" s="21" t="s">
        <v>276</v>
      </c>
      <c r="D101" s="20" t="s">
        <v>277</v>
      </c>
      <c r="E101" s="1" t="s">
        <v>278</v>
      </c>
      <c r="F101" s="1">
        <v>1</v>
      </c>
      <c r="G101" s="1">
        <v>1</v>
      </c>
      <c r="H101" s="1" t="s">
        <v>27</v>
      </c>
      <c r="I101" s="1" t="s">
        <v>83</v>
      </c>
      <c r="J101" s="1" t="s">
        <v>546</v>
      </c>
      <c r="K101" s="15">
        <v>53670</v>
      </c>
      <c r="L101" s="38" t="s">
        <v>264</v>
      </c>
      <c r="M101" s="1"/>
      <c r="N101" s="1"/>
      <c r="O101" s="1"/>
      <c r="P101" s="1"/>
      <c r="Q101" s="1" t="s">
        <v>23</v>
      </c>
      <c r="R101" s="1" t="s">
        <v>23</v>
      </c>
      <c r="S101" s="1" t="s">
        <v>23</v>
      </c>
      <c r="T101" s="1">
        <v>17.2</v>
      </c>
      <c r="U101" s="1">
        <v>2731</v>
      </c>
    </row>
    <row r="102" spans="1:21" s="4" customFormat="1" ht="31.2" x14ac:dyDescent="0.3">
      <c r="A102" s="17">
        <v>100</v>
      </c>
      <c r="B102" s="20" t="s">
        <v>724</v>
      </c>
      <c r="C102" s="22" t="s">
        <v>266</v>
      </c>
      <c r="D102" s="20" t="s">
        <v>30</v>
      </c>
      <c r="E102" s="1" t="s">
        <v>280</v>
      </c>
      <c r="F102" s="1" t="s">
        <v>281</v>
      </c>
      <c r="G102" s="1" t="s">
        <v>281</v>
      </c>
      <c r="H102" s="1" t="s">
        <v>27</v>
      </c>
      <c r="I102" s="1" t="s">
        <v>569</v>
      </c>
      <c r="J102" s="1"/>
      <c r="K102" s="15">
        <v>56800</v>
      </c>
      <c r="L102" s="38" t="s">
        <v>268</v>
      </c>
      <c r="M102" s="1"/>
      <c r="N102" s="1"/>
      <c r="O102" s="1"/>
      <c r="P102" s="1"/>
      <c r="Q102" s="1" t="s">
        <v>23</v>
      </c>
      <c r="R102" s="1" t="s">
        <v>23</v>
      </c>
      <c r="S102" s="1" t="s">
        <v>23</v>
      </c>
      <c r="T102" s="1"/>
      <c r="U102" s="1"/>
    </row>
    <row r="103" spans="1:21" s="4" customFormat="1" ht="46.8" x14ac:dyDescent="0.3">
      <c r="A103" s="17">
        <v>101</v>
      </c>
      <c r="B103" s="20" t="s">
        <v>725</v>
      </c>
      <c r="C103" s="21" t="s">
        <v>282</v>
      </c>
      <c r="D103" s="20" t="s">
        <v>574</v>
      </c>
      <c r="E103" s="1" t="s">
        <v>272</v>
      </c>
      <c r="F103" s="1">
        <v>1</v>
      </c>
      <c r="G103" s="1">
        <v>1</v>
      </c>
      <c r="H103" s="1" t="s">
        <v>27</v>
      </c>
      <c r="I103" s="1" t="s">
        <v>74</v>
      </c>
      <c r="J103" s="1" t="s">
        <v>548</v>
      </c>
      <c r="K103" s="15">
        <v>53670</v>
      </c>
      <c r="L103" s="2" t="s">
        <v>264</v>
      </c>
      <c r="M103" s="1"/>
      <c r="N103" s="1"/>
      <c r="O103" s="1"/>
      <c r="P103" s="1"/>
      <c r="Q103" s="1" t="s">
        <v>23</v>
      </c>
      <c r="R103" s="1" t="s">
        <v>23</v>
      </c>
      <c r="S103" s="1" t="s">
        <v>23</v>
      </c>
      <c r="T103" s="1"/>
      <c r="U103" s="1"/>
    </row>
    <row r="104" spans="1:21" s="4" customFormat="1" ht="62.4" x14ac:dyDescent="0.3">
      <c r="A104" s="17">
        <v>102</v>
      </c>
      <c r="B104" s="20" t="s">
        <v>726</v>
      </c>
      <c r="C104" s="21" t="s">
        <v>283</v>
      </c>
      <c r="D104" s="20" t="s">
        <v>575</v>
      </c>
      <c r="E104" s="1" t="s">
        <v>272</v>
      </c>
      <c r="F104" s="1">
        <v>1</v>
      </c>
      <c r="G104" s="1">
        <v>1</v>
      </c>
      <c r="H104" s="1" t="s">
        <v>27</v>
      </c>
      <c r="I104" s="1" t="s">
        <v>74</v>
      </c>
      <c r="J104" s="1" t="s">
        <v>501</v>
      </c>
      <c r="K104" s="15">
        <v>53670</v>
      </c>
      <c r="L104" s="2" t="s">
        <v>264</v>
      </c>
      <c r="M104" s="1"/>
      <c r="N104" s="1">
        <v>150</v>
      </c>
      <c r="O104" s="1"/>
      <c r="P104" s="1"/>
      <c r="Q104" s="1" t="s">
        <v>23</v>
      </c>
      <c r="R104" s="1" t="s">
        <v>23</v>
      </c>
      <c r="S104" s="1" t="s">
        <v>23</v>
      </c>
      <c r="T104" s="1"/>
      <c r="U104" s="1"/>
    </row>
    <row r="105" spans="1:21" s="4" customFormat="1" ht="46.8" x14ac:dyDescent="0.3">
      <c r="A105" s="17">
        <v>103</v>
      </c>
      <c r="B105" s="20" t="s">
        <v>727</v>
      </c>
      <c r="C105" s="21" t="s">
        <v>284</v>
      </c>
      <c r="D105" s="20" t="s">
        <v>574</v>
      </c>
      <c r="E105" s="1" t="s">
        <v>272</v>
      </c>
      <c r="F105" s="1">
        <v>1</v>
      </c>
      <c r="G105" s="1">
        <v>1</v>
      </c>
      <c r="H105" s="1" t="s">
        <v>27</v>
      </c>
      <c r="I105" s="1" t="s">
        <v>74</v>
      </c>
      <c r="J105" s="1" t="s">
        <v>528</v>
      </c>
      <c r="K105" s="15">
        <v>53670</v>
      </c>
      <c r="L105" s="2" t="s">
        <v>264</v>
      </c>
      <c r="M105" s="1"/>
      <c r="N105" s="1"/>
      <c r="O105" s="1"/>
      <c r="P105" s="1"/>
      <c r="Q105" s="1" t="s">
        <v>23</v>
      </c>
      <c r="R105" s="1" t="s">
        <v>23</v>
      </c>
      <c r="S105" s="1" t="s">
        <v>23</v>
      </c>
      <c r="T105" s="1" t="s">
        <v>285</v>
      </c>
      <c r="U105" s="1" t="s">
        <v>286</v>
      </c>
    </row>
    <row r="106" spans="1:21" s="4" customFormat="1" ht="46.8" x14ac:dyDescent="0.3">
      <c r="A106" s="17">
        <v>104</v>
      </c>
      <c r="B106" s="20" t="s">
        <v>288</v>
      </c>
      <c r="C106" s="21" t="s">
        <v>287</v>
      </c>
      <c r="D106" s="20" t="s">
        <v>574</v>
      </c>
      <c r="E106" s="1" t="s">
        <v>272</v>
      </c>
      <c r="F106" s="1">
        <v>1</v>
      </c>
      <c r="G106" s="1">
        <v>1</v>
      </c>
      <c r="H106" s="1" t="s">
        <v>27</v>
      </c>
      <c r="I106" s="1" t="s">
        <v>74</v>
      </c>
      <c r="J106" s="1" t="s">
        <v>528</v>
      </c>
      <c r="K106" s="15">
        <v>53670</v>
      </c>
      <c r="L106" s="2" t="s">
        <v>264</v>
      </c>
      <c r="M106" s="1"/>
      <c r="N106" s="1"/>
      <c r="O106" s="1"/>
      <c r="P106" s="1"/>
      <c r="Q106" s="1" t="s">
        <v>23</v>
      </c>
      <c r="R106" s="1" t="s">
        <v>23</v>
      </c>
      <c r="S106" s="1" t="s">
        <v>23</v>
      </c>
      <c r="T106" s="1" t="s">
        <v>285</v>
      </c>
      <c r="U106" s="1" t="s">
        <v>286</v>
      </c>
    </row>
    <row r="107" spans="1:21" s="4" customFormat="1" ht="31.2" x14ac:dyDescent="0.3">
      <c r="A107" s="17">
        <v>105</v>
      </c>
      <c r="B107" s="20" t="s">
        <v>728</v>
      </c>
      <c r="C107" s="22" t="s">
        <v>266</v>
      </c>
      <c r="D107" s="20" t="s">
        <v>30</v>
      </c>
      <c r="E107" s="1" t="s">
        <v>272</v>
      </c>
      <c r="F107" s="1" t="s">
        <v>275</v>
      </c>
      <c r="G107" s="1" t="s">
        <v>275</v>
      </c>
      <c r="H107" s="1" t="s">
        <v>27</v>
      </c>
      <c r="I107" s="1" t="s">
        <v>569</v>
      </c>
      <c r="J107" s="1"/>
      <c r="K107" s="15">
        <v>56800</v>
      </c>
      <c r="L107" s="2" t="s">
        <v>268</v>
      </c>
      <c r="M107" s="1"/>
      <c r="N107" s="1"/>
      <c r="O107" s="1"/>
      <c r="P107" s="1"/>
      <c r="Q107" s="1" t="s">
        <v>23</v>
      </c>
      <c r="R107" s="1" t="s">
        <v>23</v>
      </c>
      <c r="S107" s="1" t="s">
        <v>23</v>
      </c>
      <c r="T107" s="1"/>
      <c r="U107" s="1"/>
    </row>
    <row r="108" spans="1:21" s="4" customFormat="1" ht="31.2" x14ac:dyDescent="0.3">
      <c r="A108" s="17">
        <v>106</v>
      </c>
      <c r="B108" s="20" t="s">
        <v>292</v>
      </c>
      <c r="C108" s="24" t="s">
        <v>289</v>
      </c>
      <c r="D108" s="20" t="s">
        <v>469</v>
      </c>
      <c r="E108" s="1" t="s">
        <v>290</v>
      </c>
      <c r="F108" s="1">
        <v>1</v>
      </c>
      <c r="G108" s="1">
        <v>1</v>
      </c>
      <c r="H108" s="1" t="s">
        <v>27</v>
      </c>
      <c r="I108" s="1" t="s">
        <v>468</v>
      </c>
      <c r="J108" s="1" t="s">
        <v>564</v>
      </c>
      <c r="K108" s="15">
        <v>53113</v>
      </c>
      <c r="L108" s="2" t="s">
        <v>291</v>
      </c>
      <c r="M108" s="1"/>
      <c r="N108" s="1"/>
      <c r="O108" s="1"/>
      <c r="P108" s="1"/>
      <c r="Q108" s="1" t="s">
        <v>23</v>
      </c>
      <c r="R108" s="1" t="s">
        <v>23</v>
      </c>
      <c r="S108" s="1" t="s">
        <v>23</v>
      </c>
      <c r="T108" s="1"/>
      <c r="U108" s="1"/>
    </row>
    <row r="109" spans="1:21" s="4" customFormat="1" ht="31.2" x14ac:dyDescent="0.3">
      <c r="A109" s="17">
        <v>107</v>
      </c>
      <c r="B109" s="20" t="s">
        <v>729</v>
      </c>
      <c r="C109" s="22" t="s">
        <v>266</v>
      </c>
      <c r="D109" s="20" t="s">
        <v>30</v>
      </c>
      <c r="E109" s="1" t="s">
        <v>290</v>
      </c>
      <c r="F109" s="1" t="s">
        <v>293</v>
      </c>
      <c r="G109" s="1" t="s">
        <v>293</v>
      </c>
      <c r="H109" s="1" t="s">
        <v>77</v>
      </c>
      <c r="I109" s="1" t="s">
        <v>569</v>
      </c>
      <c r="J109" s="1"/>
      <c r="K109" s="15">
        <v>56800</v>
      </c>
      <c r="L109" s="2" t="s">
        <v>268</v>
      </c>
      <c r="M109" s="1"/>
      <c r="N109" s="1"/>
      <c r="O109" s="1"/>
      <c r="P109" s="1"/>
      <c r="Q109" s="1" t="s">
        <v>23</v>
      </c>
      <c r="R109" s="1" t="s">
        <v>23</v>
      </c>
      <c r="S109" s="1" t="s">
        <v>23</v>
      </c>
      <c r="T109" s="1"/>
      <c r="U109" s="1"/>
    </row>
    <row r="110" spans="1:21" s="4" customFormat="1" ht="31.2" x14ac:dyDescent="0.3">
      <c r="A110" s="17">
        <v>108</v>
      </c>
      <c r="B110" s="20" t="s">
        <v>295</v>
      </c>
      <c r="C110" s="21" t="s">
        <v>294</v>
      </c>
      <c r="D110" s="20" t="s">
        <v>469</v>
      </c>
      <c r="E110" s="1" t="s">
        <v>290</v>
      </c>
      <c r="F110" s="1">
        <v>1</v>
      </c>
      <c r="G110" s="1">
        <v>1</v>
      </c>
      <c r="H110" s="1" t="s">
        <v>27</v>
      </c>
      <c r="I110" s="1" t="s">
        <v>468</v>
      </c>
      <c r="J110" s="1" t="s">
        <v>530</v>
      </c>
      <c r="K110" s="15">
        <v>53113</v>
      </c>
      <c r="L110" s="2" t="s">
        <v>291</v>
      </c>
      <c r="M110" s="1"/>
      <c r="N110" s="1"/>
      <c r="O110" s="1"/>
      <c r="P110" s="1"/>
      <c r="Q110" s="1" t="s">
        <v>23</v>
      </c>
      <c r="R110" s="1" t="s">
        <v>23</v>
      </c>
      <c r="S110" s="1" t="s">
        <v>23</v>
      </c>
      <c r="T110" s="1"/>
      <c r="U110" s="1"/>
    </row>
    <row r="111" spans="1:21" s="4" customFormat="1" ht="31.2" x14ac:dyDescent="0.3">
      <c r="A111" s="17">
        <v>109</v>
      </c>
      <c r="B111" s="20" t="s">
        <v>730</v>
      </c>
      <c r="C111" s="42" t="s">
        <v>296</v>
      </c>
      <c r="D111" s="20" t="s">
        <v>30</v>
      </c>
      <c r="E111" s="1" t="s">
        <v>290</v>
      </c>
      <c r="F111" s="1">
        <v>16</v>
      </c>
      <c r="G111" s="1">
        <v>16</v>
      </c>
      <c r="H111" s="1" t="s">
        <v>27</v>
      </c>
      <c r="I111" s="1" t="s">
        <v>569</v>
      </c>
      <c r="J111" s="1" t="s">
        <v>549</v>
      </c>
      <c r="K111" s="15">
        <v>56800</v>
      </c>
      <c r="L111" s="2" t="s">
        <v>268</v>
      </c>
      <c r="M111" s="1"/>
      <c r="N111" s="1"/>
      <c r="O111" s="1"/>
      <c r="P111" s="1"/>
      <c r="Q111" s="1" t="s">
        <v>23</v>
      </c>
      <c r="R111" s="1" t="s">
        <v>23</v>
      </c>
      <c r="S111" s="1" t="s">
        <v>23</v>
      </c>
      <c r="T111" s="1"/>
      <c r="U111" s="1"/>
    </row>
    <row r="112" spans="1:21" s="4" customFormat="1" ht="31.2" x14ac:dyDescent="0.3">
      <c r="A112" s="17">
        <v>110</v>
      </c>
      <c r="B112" s="20" t="s">
        <v>302</v>
      </c>
      <c r="C112" s="21" t="s">
        <v>297</v>
      </c>
      <c r="D112" s="20" t="s">
        <v>298</v>
      </c>
      <c r="E112" s="1" t="s">
        <v>299</v>
      </c>
      <c r="F112" s="1">
        <v>1</v>
      </c>
      <c r="G112" s="1">
        <v>1</v>
      </c>
      <c r="H112" s="1" t="s">
        <v>27</v>
      </c>
      <c r="I112" s="1" t="s">
        <v>498</v>
      </c>
      <c r="J112" s="26" t="s">
        <v>617</v>
      </c>
      <c r="K112" s="15">
        <v>53588</v>
      </c>
      <c r="L112" s="38" t="s">
        <v>300</v>
      </c>
      <c r="M112" s="1">
        <v>2.5299999999999998</v>
      </c>
      <c r="N112" s="1">
        <v>150</v>
      </c>
      <c r="O112" s="1"/>
      <c r="P112" s="1"/>
      <c r="Q112" s="1">
        <v>15</v>
      </c>
      <c r="R112" s="1" t="s">
        <v>21</v>
      </c>
      <c r="S112" s="1">
        <v>60</v>
      </c>
      <c r="T112" s="1" t="s">
        <v>301</v>
      </c>
      <c r="U112" s="1"/>
    </row>
    <row r="113" spans="1:21" s="4" customFormat="1" ht="31.2" x14ac:dyDescent="0.3">
      <c r="A113" s="17">
        <v>111</v>
      </c>
      <c r="B113" s="20" t="s">
        <v>731</v>
      </c>
      <c r="C113" s="22" t="s">
        <v>303</v>
      </c>
      <c r="D113" s="20" t="s">
        <v>30</v>
      </c>
      <c r="E113" s="1" t="s">
        <v>299</v>
      </c>
      <c r="F113" s="1">
        <v>1</v>
      </c>
      <c r="G113" s="1">
        <v>1</v>
      </c>
      <c r="H113" s="1" t="s">
        <v>27</v>
      </c>
      <c r="I113" s="1" t="s">
        <v>74</v>
      </c>
      <c r="J113" s="26" t="s">
        <v>618</v>
      </c>
      <c r="K113" s="15">
        <v>53588</v>
      </c>
      <c r="L113" s="38" t="s">
        <v>300</v>
      </c>
      <c r="M113" s="1"/>
      <c r="N113" s="1"/>
      <c r="O113" s="1"/>
      <c r="P113" s="1"/>
      <c r="Q113" s="1">
        <v>10</v>
      </c>
      <c r="R113" s="1">
        <v>460</v>
      </c>
      <c r="S113" s="1"/>
      <c r="T113" s="1"/>
      <c r="U113" s="1"/>
    </row>
    <row r="114" spans="1:21" s="4" customFormat="1" x14ac:dyDescent="0.3">
      <c r="A114" s="17">
        <v>112</v>
      </c>
      <c r="B114" s="20" t="s">
        <v>306</v>
      </c>
      <c r="C114" s="21" t="s">
        <v>304</v>
      </c>
      <c r="D114" s="20" t="s">
        <v>30</v>
      </c>
      <c r="E114" s="1" t="s">
        <v>305</v>
      </c>
      <c r="F114" s="1">
        <v>1</v>
      </c>
      <c r="G114" s="1">
        <v>1</v>
      </c>
      <c r="H114" s="1" t="s">
        <v>27</v>
      </c>
      <c r="I114" s="1" t="s">
        <v>30</v>
      </c>
      <c r="J114" s="1" t="s">
        <v>506</v>
      </c>
      <c r="K114" s="15">
        <v>56794</v>
      </c>
      <c r="L114" s="2" t="s">
        <v>32</v>
      </c>
      <c r="M114" s="1"/>
      <c r="N114" s="1"/>
      <c r="O114" s="1"/>
      <c r="P114" s="1"/>
      <c r="Q114" s="1" t="s">
        <v>23</v>
      </c>
      <c r="R114" s="1" t="s">
        <v>23</v>
      </c>
      <c r="S114" s="1" t="s">
        <v>23</v>
      </c>
      <c r="T114" s="1"/>
      <c r="U114" s="1"/>
    </row>
    <row r="115" spans="1:21" s="4" customFormat="1" ht="31.2" x14ac:dyDescent="0.3">
      <c r="A115" s="17">
        <v>113</v>
      </c>
      <c r="B115" s="20" t="s">
        <v>732</v>
      </c>
      <c r="C115" s="42" t="s">
        <v>584</v>
      </c>
      <c r="D115" s="20"/>
      <c r="E115" s="1" t="s">
        <v>305</v>
      </c>
      <c r="F115" s="1">
        <v>2</v>
      </c>
      <c r="G115" s="23" t="s">
        <v>46</v>
      </c>
      <c r="H115" s="1" t="s">
        <v>27</v>
      </c>
      <c r="I115" s="1" t="s">
        <v>30</v>
      </c>
      <c r="J115" s="1"/>
      <c r="K115" s="15">
        <v>56794</v>
      </c>
      <c r="L115" s="2" t="s">
        <v>32</v>
      </c>
      <c r="M115" s="1"/>
      <c r="N115" s="1"/>
      <c r="O115" s="1"/>
      <c r="P115" s="1"/>
      <c r="Q115" s="1"/>
      <c r="R115" s="1"/>
      <c r="S115" s="1"/>
      <c r="T115" s="1"/>
      <c r="U115" s="1"/>
    </row>
    <row r="116" spans="1:21" s="4" customFormat="1" x14ac:dyDescent="0.3">
      <c r="A116" s="17">
        <v>114</v>
      </c>
      <c r="B116" s="20" t="s">
        <v>733</v>
      </c>
      <c r="C116" s="21" t="s">
        <v>307</v>
      </c>
      <c r="D116" s="20" t="s">
        <v>308</v>
      </c>
      <c r="E116" s="1" t="s">
        <v>241</v>
      </c>
      <c r="F116" s="1">
        <v>1</v>
      </c>
      <c r="G116" s="1">
        <v>1</v>
      </c>
      <c r="H116" s="1" t="s">
        <v>27</v>
      </c>
      <c r="I116" s="1" t="s">
        <v>30</v>
      </c>
      <c r="J116" s="1"/>
      <c r="K116" s="15">
        <v>56710</v>
      </c>
      <c r="L116" s="2" t="s">
        <v>57</v>
      </c>
      <c r="M116" s="1"/>
      <c r="N116" s="1"/>
      <c r="O116" s="1"/>
      <c r="P116" s="1"/>
      <c r="Q116" s="1"/>
      <c r="R116" s="1"/>
      <c r="S116" s="1"/>
      <c r="T116" s="1"/>
      <c r="U116" s="1"/>
    </row>
    <row r="117" spans="1:21" s="4" customFormat="1" x14ac:dyDescent="0.3">
      <c r="A117" s="17">
        <v>115</v>
      </c>
      <c r="B117" s="20" t="s">
        <v>734</v>
      </c>
      <c r="C117" s="21" t="s">
        <v>571</v>
      </c>
      <c r="D117" s="20" t="s">
        <v>570</v>
      </c>
      <c r="E117" s="1" t="s">
        <v>309</v>
      </c>
      <c r="F117" s="1">
        <v>1</v>
      </c>
      <c r="G117" s="1">
        <v>1</v>
      </c>
      <c r="H117" s="1" t="s">
        <v>27</v>
      </c>
      <c r="I117" s="1" t="s">
        <v>30</v>
      </c>
      <c r="J117" s="1"/>
      <c r="K117" s="15">
        <v>56710</v>
      </c>
      <c r="L117" s="2" t="s">
        <v>57</v>
      </c>
      <c r="M117" s="1"/>
      <c r="N117" s="1"/>
      <c r="O117" s="1"/>
      <c r="P117" s="1"/>
      <c r="Q117" s="1"/>
      <c r="R117" s="1"/>
      <c r="S117" s="1"/>
      <c r="T117" s="1"/>
      <c r="U117" s="1"/>
    </row>
    <row r="118" spans="1:21" s="4" customFormat="1" x14ac:dyDescent="0.3">
      <c r="A118" s="17">
        <v>116</v>
      </c>
      <c r="B118" s="20" t="s">
        <v>735</v>
      </c>
      <c r="C118" s="21" t="s">
        <v>310</v>
      </c>
      <c r="D118" s="20"/>
      <c r="E118" s="1" t="s">
        <v>311</v>
      </c>
      <c r="F118" s="1">
        <v>2</v>
      </c>
      <c r="G118" s="19" t="s">
        <v>312</v>
      </c>
      <c r="H118" s="1" t="s">
        <v>27</v>
      </c>
      <c r="I118" s="1" t="s">
        <v>30</v>
      </c>
      <c r="J118" s="1"/>
      <c r="K118" s="15">
        <v>54171</v>
      </c>
      <c r="L118" s="30" t="s">
        <v>313</v>
      </c>
      <c r="M118" s="1"/>
      <c r="N118" s="1"/>
      <c r="O118" s="1"/>
      <c r="P118" s="1"/>
      <c r="Q118" s="1">
        <v>15</v>
      </c>
      <c r="R118" s="1">
        <v>460</v>
      </c>
      <c r="S118" s="1">
        <v>3</v>
      </c>
      <c r="T118" s="1"/>
      <c r="U118" s="1"/>
    </row>
    <row r="119" spans="1:21" s="4" customFormat="1" x14ac:dyDescent="0.3">
      <c r="A119" s="17">
        <v>117</v>
      </c>
      <c r="B119" s="20" t="s">
        <v>736</v>
      </c>
      <c r="C119" s="21" t="s">
        <v>314</v>
      </c>
      <c r="D119" s="20" t="s">
        <v>487</v>
      </c>
      <c r="E119" s="1" t="s">
        <v>309</v>
      </c>
      <c r="F119" s="1">
        <v>2</v>
      </c>
      <c r="G119" s="1" t="s">
        <v>46</v>
      </c>
      <c r="H119" s="1" t="s">
        <v>27</v>
      </c>
      <c r="I119" s="1" t="s">
        <v>30</v>
      </c>
      <c r="J119" s="26" t="s">
        <v>619</v>
      </c>
      <c r="K119" s="15">
        <v>54163</v>
      </c>
      <c r="L119" s="30" t="s">
        <v>315</v>
      </c>
      <c r="M119" s="1">
        <v>226</v>
      </c>
      <c r="N119" s="1" t="s">
        <v>316</v>
      </c>
      <c r="O119" s="1">
        <v>221</v>
      </c>
      <c r="P119" s="1">
        <v>105</v>
      </c>
      <c r="Q119" s="1">
        <v>800</v>
      </c>
      <c r="R119" s="1">
        <v>4000</v>
      </c>
      <c r="S119" s="1">
        <v>3</v>
      </c>
      <c r="T119" s="1"/>
      <c r="U119" s="1"/>
    </row>
    <row r="120" spans="1:21" s="4" customFormat="1" x14ac:dyDescent="0.3">
      <c r="A120" s="17">
        <v>118</v>
      </c>
      <c r="B120" s="20" t="s">
        <v>737</v>
      </c>
      <c r="C120" s="21" t="s">
        <v>317</v>
      </c>
      <c r="D120" s="20" t="s">
        <v>30</v>
      </c>
      <c r="E120" s="1" t="s">
        <v>311</v>
      </c>
      <c r="F120" s="1">
        <v>1</v>
      </c>
      <c r="G120" s="1">
        <v>1</v>
      </c>
      <c r="H120" s="1" t="s">
        <v>27</v>
      </c>
      <c r="I120" s="1" t="s">
        <v>74</v>
      </c>
      <c r="J120" s="1"/>
      <c r="K120" s="15">
        <v>51211</v>
      </c>
      <c r="L120" s="38" t="s">
        <v>318</v>
      </c>
      <c r="M120" s="1"/>
      <c r="N120" s="1"/>
      <c r="O120" s="1"/>
      <c r="P120" s="1"/>
      <c r="Q120" s="1" t="s">
        <v>23</v>
      </c>
      <c r="R120" s="1" t="s">
        <v>23</v>
      </c>
      <c r="S120" s="1" t="s">
        <v>23</v>
      </c>
      <c r="T120" s="1"/>
      <c r="U120" s="1"/>
    </row>
    <row r="121" spans="1:21" s="10" customFormat="1" ht="62.4" x14ac:dyDescent="0.3">
      <c r="A121" s="17">
        <v>119</v>
      </c>
      <c r="B121" s="20" t="s">
        <v>738</v>
      </c>
      <c r="C121" s="21" t="s">
        <v>319</v>
      </c>
      <c r="D121" s="40" t="s">
        <v>320</v>
      </c>
      <c r="E121" s="1" t="s">
        <v>241</v>
      </c>
      <c r="F121" s="1">
        <v>1</v>
      </c>
      <c r="G121" s="1">
        <v>1</v>
      </c>
      <c r="H121" s="1" t="s">
        <v>27</v>
      </c>
      <c r="I121" s="46" t="s">
        <v>321</v>
      </c>
      <c r="J121" s="26" t="s">
        <v>620</v>
      </c>
      <c r="K121" s="15">
        <v>51181</v>
      </c>
      <c r="L121" s="38" t="s">
        <v>322</v>
      </c>
      <c r="M121" s="1">
        <v>135300</v>
      </c>
      <c r="N121" s="1"/>
      <c r="O121" s="1">
        <v>232</v>
      </c>
      <c r="P121" s="1">
        <v>111</v>
      </c>
      <c r="Q121" s="1" t="s">
        <v>23</v>
      </c>
      <c r="R121" s="1" t="s">
        <v>23</v>
      </c>
      <c r="S121" s="1" t="s">
        <v>23</v>
      </c>
      <c r="T121" s="1"/>
      <c r="U121" s="1"/>
    </row>
    <row r="122" spans="1:21" s="10" customFormat="1" x14ac:dyDescent="0.3">
      <c r="A122" s="17">
        <v>120</v>
      </c>
      <c r="B122" s="20" t="s">
        <v>328</v>
      </c>
      <c r="C122" s="21" t="s">
        <v>323</v>
      </c>
      <c r="D122" s="20" t="s">
        <v>324</v>
      </c>
      <c r="E122" s="1" t="s">
        <v>325</v>
      </c>
      <c r="F122" s="1">
        <v>1</v>
      </c>
      <c r="G122" s="1">
        <v>1</v>
      </c>
      <c r="H122" s="1" t="s">
        <v>27</v>
      </c>
      <c r="I122" s="1" t="s">
        <v>326</v>
      </c>
      <c r="J122" s="1" t="s">
        <v>563</v>
      </c>
      <c r="K122" s="15">
        <v>51153</v>
      </c>
      <c r="L122" s="38" t="s">
        <v>327</v>
      </c>
      <c r="M122" s="1"/>
      <c r="N122" s="1"/>
      <c r="O122" s="1"/>
      <c r="P122" s="1"/>
      <c r="Q122" s="1" t="s">
        <v>23</v>
      </c>
      <c r="R122" s="1" t="s">
        <v>23</v>
      </c>
      <c r="S122" s="1" t="s">
        <v>23</v>
      </c>
      <c r="T122" s="1"/>
      <c r="U122" s="1"/>
    </row>
    <row r="123" spans="1:21" s="4" customFormat="1" ht="31.2" x14ac:dyDescent="0.3">
      <c r="A123" s="17">
        <v>121</v>
      </c>
      <c r="B123" s="20" t="s">
        <v>739</v>
      </c>
      <c r="C123" s="22" t="s">
        <v>329</v>
      </c>
      <c r="D123" s="20" t="s">
        <v>330</v>
      </c>
      <c r="E123" s="1" t="s">
        <v>325</v>
      </c>
      <c r="F123" s="1">
        <v>65</v>
      </c>
      <c r="G123" s="1">
        <f>F123</f>
        <v>65</v>
      </c>
      <c r="H123" s="1" t="s">
        <v>567</v>
      </c>
      <c r="I123" s="1" t="s">
        <v>177</v>
      </c>
      <c r="J123" s="1" t="s">
        <v>23</v>
      </c>
      <c r="K123" s="15">
        <v>51620</v>
      </c>
      <c r="L123" s="2" t="s">
        <v>180</v>
      </c>
      <c r="M123" s="1"/>
      <c r="N123" s="1"/>
      <c r="O123" s="1"/>
      <c r="P123" s="1"/>
      <c r="Q123" s="1" t="s">
        <v>23</v>
      </c>
      <c r="R123" s="1" t="s">
        <v>23</v>
      </c>
      <c r="S123" s="1" t="s">
        <v>23</v>
      </c>
      <c r="T123" s="1"/>
      <c r="U123" s="1"/>
    </row>
    <row r="124" spans="1:21" s="4" customFormat="1" ht="31.2" x14ac:dyDescent="0.3">
      <c r="A124" s="17">
        <v>122</v>
      </c>
      <c r="B124" s="20" t="s">
        <v>740</v>
      </c>
      <c r="C124" s="22" t="s">
        <v>274</v>
      </c>
      <c r="D124" s="20" t="s">
        <v>30</v>
      </c>
      <c r="E124" s="1" t="s">
        <v>325</v>
      </c>
      <c r="F124" s="1">
        <v>32</v>
      </c>
      <c r="G124" s="1">
        <v>32</v>
      </c>
      <c r="H124" s="1" t="s">
        <v>27</v>
      </c>
      <c r="I124" s="1" t="s">
        <v>569</v>
      </c>
      <c r="J124" s="1" t="s">
        <v>531</v>
      </c>
      <c r="K124" s="15">
        <v>56800</v>
      </c>
      <c r="L124" s="2" t="s">
        <v>268</v>
      </c>
      <c r="M124" s="1"/>
      <c r="N124" s="1"/>
      <c r="O124" s="1"/>
      <c r="P124" s="1"/>
      <c r="Q124" s="1" t="s">
        <v>23</v>
      </c>
      <c r="R124" s="1" t="s">
        <v>23</v>
      </c>
      <c r="S124" s="1" t="s">
        <v>23</v>
      </c>
      <c r="T124" s="1"/>
      <c r="U124" s="1"/>
    </row>
    <row r="125" spans="1:21" s="4" customFormat="1" ht="31.2" x14ac:dyDescent="0.3">
      <c r="A125" s="17">
        <v>123</v>
      </c>
      <c r="B125" s="20" t="s">
        <v>741</v>
      </c>
      <c r="C125" s="22" t="s">
        <v>331</v>
      </c>
      <c r="D125" s="20" t="s">
        <v>332</v>
      </c>
      <c r="E125" s="1" t="s">
        <v>325</v>
      </c>
      <c r="F125" s="45">
        <v>3450</v>
      </c>
      <c r="G125" s="45">
        <f>F125*28.3186</f>
        <v>97699.17</v>
      </c>
      <c r="H125" s="1" t="s">
        <v>567</v>
      </c>
      <c r="I125" s="1" t="s">
        <v>333</v>
      </c>
      <c r="J125" s="1"/>
      <c r="K125" s="15">
        <v>51625</v>
      </c>
      <c r="L125" s="2" t="s">
        <v>334</v>
      </c>
      <c r="M125" s="1"/>
      <c r="N125" s="1"/>
      <c r="O125" s="1"/>
      <c r="P125" s="1"/>
      <c r="Q125" s="1" t="s">
        <v>23</v>
      </c>
      <c r="R125" s="1" t="s">
        <v>23</v>
      </c>
      <c r="S125" s="1" t="s">
        <v>23</v>
      </c>
      <c r="T125" s="1"/>
      <c r="U125" s="1"/>
    </row>
    <row r="126" spans="1:21" s="4" customFormat="1" ht="31.2" x14ac:dyDescent="0.3">
      <c r="A126" s="17">
        <v>124</v>
      </c>
      <c r="B126" s="20" t="s">
        <v>742</v>
      </c>
      <c r="C126" s="22" t="s">
        <v>335</v>
      </c>
      <c r="D126" s="20" t="s">
        <v>336</v>
      </c>
      <c r="E126" s="1" t="s">
        <v>325</v>
      </c>
      <c r="F126" s="45">
        <v>3500</v>
      </c>
      <c r="G126" s="45">
        <f t="shared" ref="G126:G128" si="0">F126*28.3186</f>
        <v>99115.1</v>
      </c>
      <c r="H126" s="1" t="s">
        <v>567</v>
      </c>
      <c r="I126" s="1" t="s">
        <v>333</v>
      </c>
      <c r="J126" s="1"/>
      <c r="K126" s="15">
        <v>51625</v>
      </c>
      <c r="L126" s="2" t="s">
        <v>334</v>
      </c>
      <c r="M126" s="1"/>
      <c r="N126" s="1"/>
      <c r="O126" s="1"/>
      <c r="P126" s="1"/>
      <c r="Q126" s="1" t="s">
        <v>23</v>
      </c>
      <c r="R126" s="1" t="s">
        <v>23</v>
      </c>
      <c r="S126" s="1" t="s">
        <v>23</v>
      </c>
      <c r="T126" s="1"/>
      <c r="U126" s="1"/>
    </row>
    <row r="127" spans="1:21" s="4" customFormat="1" ht="31.2" x14ac:dyDescent="0.3">
      <c r="A127" s="17">
        <v>125</v>
      </c>
      <c r="B127" s="20" t="s">
        <v>743</v>
      </c>
      <c r="C127" s="22" t="s">
        <v>337</v>
      </c>
      <c r="D127" s="20" t="s">
        <v>336</v>
      </c>
      <c r="E127" s="1" t="s">
        <v>325</v>
      </c>
      <c r="F127" s="45">
        <v>5050</v>
      </c>
      <c r="G127" s="45">
        <f t="shared" si="0"/>
        <v>143008.93</v>
      </c>
      <c r="H127" s="1" t="s">
        <v>567</v>
      </c>
      <c r="I127" s="1" t="s">
        <v>333</v>
      </c>
      <c r="J127" s="1"/>
      <c r="K127" s="15">
        <v>51625</v>
      </c>
      <c r="L127" s="2" t="s">
        <v>334</v>
      </c>
      <c r="M127" s="1"/>
      <c r="N127" s="1"/>
      <c r="O127" s="1"/>
      <c r="P127" s="1"/>
      <c r="Q127" s="1" t="s">
        <v>23</v>
      </c>
      <c r="R127" s="1" t="s">
        <v>23</v>
      </c>
      <c r="S127" s="1" t="s">
        <v>23</v>
      </c>
      <c r="T127" s="1"/>
      <c r="U127" s="1"/>
    </row>
    <row r="128" spans="1:21" s="4" customFormat="1" ht="31.2" x14ac:dyDescent="0.3">
      <c r="A128" s="17">
        <v>126</v>
      </c>
      <c r="B128" s="20" t="s">
        <v>744</v>
      </c>
      <c r="C128" s="22" t="s">
        <v>338</v>
      </c>
      <c r="D128" s="20" t="s">
        <v>336</v>
      </c>
      <c r="E128" s="1" t="s">
        <v>325</v>
      </c>
      <c r="F128" s="45">
        <v>5300</v>
      </c>
      <c r="G128" s="45">
        <f t="shared" si="0"/>
        <v>150088.57999999999</v>
      </c>
      <c r="H128" s="1" t="s">
        <v>567</v>
      </c>
      <c r="I128" s="1" t="s">
        <v>333</v>
      </c>
      <c r="J128" s="1"/>
      <c r="K128" s="15">
        <v>51625</v>
      </c>
      <c r="L128" s="2" t="s">
        <v>334</v>
      </c>
      <c r="M128" s="1"/>
      <c r="N128" s="1"/>
      <c r="O128" s="1"/>
      <c r="P128" s="1"/>
      <c r="Q128" s="1" t="s">
        <v>23</v>
      </c>
      <c r="R128" s="1" t="s">
        <v>23</v>
      </c>
      <c r="S128" s="1" t="s">
        <v>23</v>
      </c>
      <c r="T128" s="1"/>
      <c r="U128" s="1"/>
    </row>
    <row r="129" spans="1:21" s="4" customFormat="1" ht="31.2" x14ac:dyDescent="0.3">
      <c r="A129" s="17">
        <v>127</v>
      </c>
      <c r="B129" s="20" t="s">
        <v>745</v>
      </c>
      <c r="C129" s="22" t="s">
        <v>339</v>
      </c>
      <c r="D129" s="20" t="s">
        <v>30</v>
      </c>
      <c r="E129" s="1" t="s">
        <v>325</v>
      </c>
      <c r="F129" s="1">
        <v>1</v>
      </c>
      <c r="G129" s="1">
        <v>1</v>
      </c>
      <c r="H129" s="1" t="s">
        <v>27</v>
      </c>
      <c r="I129" s="1" t="s">
        <v>340</v>
      </c>
      <c r="J129" s="1"/>
      <c r="K129" s="15">
        <v>51153</v>
      </c>
      <c r="L129" s="38" t="s">
        <v>327</v>
      </c>
      <c r="M129" s="1"/>
      <c r="N129" s="1"/>
      <c r="O129" s="1"/>
      <c r="P129" s="1"/>
      <c r="Q129" s="1" t="s">
        <v>23</v>
      </c>
      <c r="R129" s="1" t="s">
        <v>23</v>
      </c>
      <c r="S129" s="1" t="s">
        <v>23</v>
      </c>
      <c r="T129" s="1"/>
      <c r="U129" s="1"/>
    </row>
    <row r="130" spans="1:21" s="4" customFormat="1" x14ac:dyDescent="0.3">
      <c r="A130" s="17">
        <v>128</v>
      </c>
      <c r="B130" s="20" t="s">
        <v>746</v>
      </c>
      <c r="C130" s="21" t="s">
        <v>341</v>
      </c>
      <c r="D130" s="20" t="s">
        <v>30</v>
      </c>
      <c r="E130" s="1" t="s">
        <v>311</v>
      </c>
      <c r="F130" s="1">
        <v>1</v>
      </c>
      <c r="G130" s="1">
        <v>1</v>
      </c>
      <c r="H130" s="1" t="s">
        <v>27</v>
      </c>
      <c r="I130" s="1" t="s">
        <v>74</v>
      </c>
      <c r="J130" s="1"/>
      <c r="K130" s="15">
        <v>51211</v>
      </c>
      <c r="L130" s="38" t="s">
        <v>318</v>
      </c>
      <c r="M130" s="1"/>
      <c r="N130" s="1"/>
      <c r="O130" s="1"/>
      <c r="P130" s="1"/>
      <c r="Q130" s="1" t="s">
        <v>23</v>
      </c>
      <c r="R130" s="1" t="s">
        <v>23</v>
      </c>
      <c r="S130" s="1" t="s">
        <v>23</v>
      </c>
      <c r="T130" s="1"/>
      <c r="U130" s="1"/>
    </row>
    <row r="131" spans="1:21" s="4" customFormat="1" x14ac:dyDescent="0.3">
      <c r="A131" s="17">
        <v>129</v>
      </c>
      <c r="B131" s="20" t="s">
        <v>747</v>
      </c>
      <c r="C131" s="47" t="s">
        <v>342</v>
      </c>
      <c r="D131" s="20" t="s">
        <v>30</v>
      </c>
      <c r="E131" s="1" t="s">
        <v>311</v>
      </c>
      <c r="F131" s="1">
        <v>1</v>
      </c>
      <c r="G131" s="1">
        <v>1</v>
      </c>
      <c r="H131" s="1" t="s">
        <v>27</v>
      </c>
      <c r="I131" s="1" t="s">
        <v>74</v>
      </c>
      <c r="J131" s="1" t="s">
        <v>529</v>
      </c>
      <c r="K131" s="15">
        <v>51580</v>
      </c>
      <c r="L131" s="38" t="s">
        <v>203</v>
      </c>
      <c r="M131" s="1"/>
      <c r="N131" s="1"/>
      <c r="O131" s="1"/>
      <c r="P131" s="1"/>
      <c r="Q131" s="1" t="s">
        <v>23</v>
      </c>
      <c r="R131" s="1" t="s">
        <v>23</v>
      </c>
      <c r="S131" s="1" t="s">
        <v>23</v>
      </c>
      <c r="T131" s="1"/>
      <c r="U131" s="1"/>
    </row>
    <row r="132" spans="1:21" s="4" customFormat="1" ht="31.2" x14ac:dyDescent="0.3">
      <c r="A132" s="17">
        <v>130</v>
      </c>
      <c r="B132" s="20" t="s">
        <v>347</v>
      </c>
      <c r="C132" s="21" t="s">
        <v>343</v>
      </c>
      <c r="D132" s="20" t="s">
        <v>344</v>
      </c>
      <c r="E132" s="1" t="s">
        <v>345</v>
      </c>
      <c r="F132" s="1">
        <v>1</v>
      </c>
      <c r="G132" s="1">
        <v>1</v>
      </c>
      <c r="H132" s="1" t="s">
        <v>27</v>
      </c>
      <c r="I132" s="1" t="s">
        <v>74</v>
      </c>
      <c r="J132" s="1" t="s">
        <v>532</v>
      </c>
      <c r="K132" s="15">
        <v>53573</v>
      </c>
      <c r="L132" s="38" t="s">
        <v>346</v>
      </c>
      <c r="M132" s="1"/>
      <c r="N132" s="1"/>
      <c r="O132" s="1"/>
      <c r="P132" s="1"/>
      <c r="Q132" s="1" t="s">
        <v>23</v>
      </c>
      <c r="R132" s="1" t="s">
        <v>23</v>
      </c>
      <c r="S132" s="1" t="s">
        <v>23</v>
      </c>
      <c r="T132" s="1"/>
      <c r="U132" s="1"/>
    </row>
    <row r="133" spans="1:21" s="4" customFormat="1" ht="31.2" x14ac:dyDescent="0.3">
      <c r="A133" s="17">
        <v>131</v>
      </c>
      <c r="B133" s="20" t="s">
        <v>748</v>
      </c>
      <c r="C133" s="22" t="s">
        <v>348</v>
      </c>
      <c r="D133" s="20" t="s">
        <v>349</v>
      </c>
      <c r="E133" s="1" t="s">
        <v>350</v>
      </c>
      <c r="F133" s="1">
        <v>1</v>
      </c>
      <c r="G133" s="1">
        <v>1</v>
      </c>
      <c r="H133" s="1" t="s">
        <v>77</v>
      </c>
      <c r="I133" s="1" t="s">
        <v>351</v>
      </c>
      <c r="J133" s="1" t="s">
        <v>533</v>
      </c>
      <c r="K133" s="15">
        <v>59753</v>
      </c>
      <c r="L133" s="2" t="s">
        <v>352</v>
      </c>
      <c r="M133" s="1"/>
      <c r="N133" s="1"/>
      <c r="O133" s="1"/>
      <c r="P133" s="1"/>
      <c r="Q133" s="1" t="s">
        <v>23</v>
      </c>
      <c r="R133" s="1" t="s">
        <v>23</v>
      </c>
      <c r="S133" s="1" t="s">
        <v>23</v>
      </c>
      <c r="T133" s="1"/>
      <c r="U133" s="1"/>
    </row>
    <row r="134" spans="1:21" s="4" customFormat="1" ht="62.4" x14ac:dyDescent="0.3">
      <c r="A134" s="17">
        <v>132</v>
      </c>
      <c r="B134" s="20" t="s">
        <v>749</v>
      </c>
      <c r="C134" s="22" t="s">
        <v>353</v>
      </c>
      <c r="D134" s="20" t="s">
        <v>354</v>
      </c>
      <c r="E134" s="1" t="s">
        <v>350</v>
      </c>
      <c r="F134" s="1">
        <v>1</v>
      </c>
      <c r="G134" s="1">
        <v>1</v>
      </c>
      <c r="H134" s="1" t="s">
        <v>27</v>
      </c>
      <c r="I134" s="1" t="s">
        <v>74</v>
      </c>
      <c r="J134" s="1" t="s">
        <v>562</v>
      </c>
      <c r="K134" s="15">
        <v>53573</v>
      </c>
      <c r="L134" s="38" t="s">
        <v>346</v>
      </c>
      <c r="M134" s="1"/>
      <c r="N134" s="1"/>
      <c r="O134" s="1"/>
      <c r="P134" s="1"/>
      <c r="Q134" s="1" t="s">
        <v>23</v>
      </c>
      <c r="R134" s="1" t="s">
        <v>23</v>
      </c>
      <c r="S134" s="1" t="s">
        <v>23</v>
      </c>
      <c r="T134" s="1"/>
      <c r="U134" s="1"/>
    </row>
    <row r="135" spans="1:21" s="4" customFormat="1" ht="31.2" x14ac:dyDescent="0.3">
      <c r="A135" s="17">
        <v>133</v>
      </c>
      <c r="B135" s="20" t="s">
        <v>750</v>
      </c>
      <c r="C135" s="22" t="s">
        <v>274</v>
      </c>
      <c r="D135" s="20" t="s">
        <v>357</v>
      </c>
      <c r="E135" s="1" t="s">
        <v>358</v>
      </c>
      <c r="F135" s="1">
        <v>4</v>
      </c>
      <c r="G135" s="1">
        <v>4</v>
      </c>
      <c r="H135" s="1" t="s">
        <v>27</v>
      </c>
      <c r="I135" s="1" t="s">
        <v>569</v>
      </c>
      <c r="J135" s="1"/>
      <c r="K135" s="15">
        <v>56800</v>
      </c>
      <c r="L135" s="2" t="s">
        <v>268</v>
      </c>
      <c r="M135" s="1"/>
      <c r="N135" s="1"/>
      <c r="O135" s="1"/>
      <c r="P135" s="1"/>
      <c r="Q135" s="1" t="s">
        <v>23</v>
      </c>
      <c r="R135" s="1" t="s">
        <v>23</v>
      </c>
      <c r="S135" s="1" t="s">
        <v>23</v>
      </c>
      <c r="T135" s="1"/>
      <c r="U135" s="1"/>
    </row>
    <row r="136" spans="1:21" s="4" customFormat="1" ht="31.2" x14ac:dyDescent="0.3">
      <c r="A136" s="17">
        <v>134</v>
      </c>
      <c r="B136" s="20" t="s">
        <v>751</v>
      </c>
      <c r="C136" s="22" t="s">
        <v>355</v>
      </c>
      <c r="D136" s="20" t="s">
        <v>572</v>
      </c>
      <c r="E136" s="1" t="s">
        <v>356</v>
      </c>
      <c r="F136" s="1">
        <v>5</v>
      </c>
      <c r="G136" s="1">
        <v>5</v>
      </c>
      <c r="H136" s="1" t="s">
        <v>27</v>
      </c>
      <c r="I136" s="1" t="s">
        <v>83</v>
      </c>
      <c r="J136" s="1"/>
      <c r="K136" s="15">
        <v>51644</v>
      </c>
      <c r="L136" s="2" t="s">
        <v>228</v>
      </c>
      <c r="M136" s="1"/>
      <c r="N136" s="1"/>
      <c r="O136" s="1"/>
      <c r="P136" s="1"/>
      <c r="Q136" s="1" t="s">
        <v>23</v>
      </c>
      <c r="R136" s="1" t="s">
        <v>23</v>
      </c>
      <c r="S136" s="1" t="s">
        <v>23</v>
      </c>
      <c r="T136" s="1"/>
      <c r="U136" s="1"/>
    </row>
    <row r="137" spans="1:21" s="4" customFormat="1" x14ac:dyDescent="0.3">
      <c r="A137" s="17">
        <v>135</v>
      </c>
      <c r="B137" s="20" t="s">
        <v>752</v>
      </c>
      <c r="C137" s="21" t="s">
        <v>359</v>
      </c>
      <c r="D137" s="20" t="s">
        <v>30</v>
      </c>
      <c r="E137" s="1" t="s">
        <v>278</v>
      </c>
      <c r="F137" s="1">
        <v>1</v>
      </c>
      <c r="G137" s="1">
        <v>1</v>
      </c>
      <c r="H137" s="1" t="s">
        <v>27</v>
      </c>
      <c r="I137" s="1" t="s">
        <v>83</v>
      </c>
      <c r="J137" s="26" t="s">
        <v>621</v>
      </c>
      <c r="K137" s="15">
        <v>51542</v>
      </c>
      <c r="L137" s="38" t="s">
        <v>360</v>
      </c>
      <c r="M137" s="1"/>
      <c r="N137" s="1"/>
      <c r="O137" s="1"/>
      <c r="P137" s="1"/>
      <c r="Q137" s="1">
        <v>15</v>
      </c>
      <c r="R137" s="1">
        <v>460</v>
      </c>
      <c r="S137" s="1">
        <v>3</v>
      </c>
      <c r="T137" s="1"/>
      <c r="U137" s="1"/>
    </row>
    <row r="138" spans="1:21" s="4" customFormat="1" x14ac:dyDescent="0.3">
      <c r="A138" s="17">
        <v>136</v>
      </c>
      <c r="B138" s="20" t="s">
        <v>753</v>
      </c>
      <c r="C138" s="21" t="s">
        <v>450</v>
      </c>
      <c r="D138" s="20" t="s">
        <v>30</v>
      </c>
      <c r="E138" s="1" t="s">
        <v>350</v>
      </c>
      <c r="F138" s="1">
        <v>1</v>
      </c>
      <c r="G138" s="1">
        <v>1</v>
      </c>
      <c r="H138" s="1" t="s">
        <v>27</v>
      </c>
      <c r="I138" s="1" t="s">
        <v>83</v>
      </c>
      <c r="J138" s="26" t="s">
        <v>622</v>
      </c>
      <c r="K138" s="15">
        <v>51542</v>
      </c>
      <c r="L138" s="38" t="s">
        <v>360</v>
      </c>
      <c r="M138" s="1"/>
      <c r="N138" s="1"/>
      <c r="O138" s="1"/>
      <c r="P138" s="1"/>
      <c r="Q138" s="1">
        <v>15</v>
      </c>
      <c r="R138" s="1">
        <v>460</v>
      </c>
      <c r="S138" s="1">
        <v>3</v>
      </c>
      <c r="T138" s="1"/>
      <c r="U138" s="1"/>
    </row>
    <row r="139" spans="1:21" s="4" customFormat="1" x14ac:dyDescent="0.3">
      <c r="A139" s="17">
        <v>137</v>
      </c>
      <c r="B139" s="20" t="s">
        <v>754</v>
      </c>
      <c r="C139" s="21" t="s">
        <v>361</v>
      </c>
      <c r="D139" s="20" t="s">
        <v>30</v>
      </c>
      <c r="E139" s="1" t="s">
        <v>362</v>
      </c>
      <c r="F139" s="1">
        <v>1</v>
      </c>
      <c r="G139" s="1">
        <v>1</v>
      </c>
      <c r="H139" s="1" t="s">
        <v>27</v>
      </c>
      <c r="I139" s="1" t="s">
        <v>74</v>
      </c>
      <c r="J139" s="26" t="s">
        <v>623</v>
      </c>
      <c r="K139" s="15">
        <v>51121</v>
      </c>
      <c r="L139" s="16" t="s">
        <v>363</v>
      </c>
      <c r="M139" s="1"/>
      <c r="N139" s="1"/>
      <c r="O139" s="1"/>
      <c r="P139" s="1"/>
      <c r="Q139" s="1" t="s">
        <v>23</v>
      </c>
      <c r="R139" s="1" t="s">
        <v>23</v>
      </c>
      <c r="S139" s="1" t="s">
        <v>23</v>
      </c>
      <c r="T139" s="1"/>
      <c r="U139" s="1"/>
    </row>
    <row r="140" spans="1:21" s="4" customFormat="1" x14ac:dyDescent="0.3">
      <c r="A140" s="17">
        <v>138</v>
      </c>
      <c r="B140" s="20" t="s">
        <v>755</v>
      </c>
      <c r="C140" s="21" t="s">
        <v>364</v>
      </c>
      <c r="D140" s="20" t="s">
        <v>30</v>
      </c>
      <c r="E140" s="1" t="s">
        <v>365</v>
      </c>
      <c r="F140" s="1">
        <v>1</v>
      </c>
      <c r="G140" s="1">
        <v>1</v>
      </c>
      <c r="H140" s="1" t="s">
        <v>27</v>
      </c>
      <c r="I140" s="1" t="s">
        <v>74</v>
      </c>
      <c r="J140" s="26" t="s">
        <v>623</v>
      </c>
      <c r="K140" s="15">
        <v>51121</v>
      </c>
      <c r="L140" s="16" t="s">
        <v>363</v>
      </c>
      <c r="M140" s="1"/>
      <c r="N140" s="1"/>
      <c r="O140" s="1"/>
      <c r="P140" s="1"/>
      <c r="Q140" s="1" t="s">
        <v>23</v>
      </c>
      <c r="R140" s="1" t="s">
        <v>23</v>
      </c>
      <c r="S140" s="1" t="s">
        <v>23</v>
      </c>
      <c r="T140" s="1"/>
      <c r="U140" s="1"/>
    </row>
    <row r="141" spans="1:21" s="4" customFormat="1" x14ac:dyDescent="0.3">
      <c r="A141" s="17">
        <v>139</v>
      </c>
      <c r="B141" s="20" t="s">
        <v>366</v>
      </c>
      <c r="C141" s="21" t="s">
        <v>370</v>
      </c>
      <c r="D141" s="20" t="s">
        <v>371</v>
      </c>
      <c r="E141" s="1" t="s">
        <v>368</v>
      </c>
      <c r="F141" s="1">
        <v>1</v>
      </c>
      <c r="G141" s="1">
        <v>1</v>
      </c>
      <c r="H141" s="1" t="s">
        <v>27</v>
      </c>
      <c r="I141" s="1" t="s">
        <v>83</v>
      </c>
      <c r="J141" s="1" t="s">
        <v>561</v>
      </c>
      <c r="K141" s="15">
        <v>53430</v>
      </c>
      <c r="L141" s="2" t="s">
        <v>369</v>
      </c>
      <c r="M141" s="48"/>
      <c r="N141" s="1"/>
      <c r="O141" s="1"/>
      <c r="P141" s="1"/>
      <c r="Q141" s="1"/>
      <c r="R141" s="1"/>
      <c r="S141" s="1"/>
      <c r="T141" s="1"/>
      <c r="U141" s="1"/>
    </row>
    <row r="142" spans="1:21" s="4" customFormat="1" ht="31.2" x14ac:dyDescent="0.3">
      <c r="A142" s="17">
        <v>140</v>
      </c>
      <c r="B142" s="20" t="s">
        <v>756</v>
      </c>
      <c r="C142" s="22" t="s">
        <v>367</v>
      </c>
      <c r="D142" s="20" t="s">
        <v>454</v>
      </c>
      <c r="E142" s="1" t="s">
        <v>368</v>
      </c>
      <c r="F142" s="1">
        <v>1</v>
      </c>
      <c r="G142" s="1">
        <v>1</v>
      </c>
      <c r="H142" s="1" t="s">
        <v>27</v>
      </c>
      <c r="I142" s="1" t="s">
        <v>30</v>
      </c>
      <c r="J142" s="49" t="s">
        <v>453</v>
      </c>
      <c r="K142" s="15">
        <v>53430</v>
      </c>
      <c r="L142" s="38" t="s">
        <v>369</v>
      </c>
      <c r="M142" s="48" t="s">
        <v>372</v>
      </c>
      <c r="N142" s="1"/>
      <c r="O142" s="1"/>
      <c r="P142" s="1"/>
      <c r="Q142" s="1" t="s">
        <v>373</v>
      </c>
      <c r="R142" s="1">
        <v>460</v>
      </c>
      <c r="S142" s="1">
        <v>3</v>
      </c>
      <c r="T142" s="1"/>
      <c r="U142" s="1"/>
    </row>
    <row r="143" spans="1:21" s="4" customFormat="1" ht="31.2" x14ac:dyDescent="0.3">
      <c r="A143" s="17">
        <v>141</v>
      </c>
      <c r="B143" s="20" t="s">
        <v>757</v>
      </c>
      <c r="C143" s="21" t="s">
        <v>104</v>
      </c>
      <c r="D143" s="20" t="s">
        <v>25</v>
      </c>
      <c r="E143" s="1" t="s">
        <v>26</v>
      </c>
      <c r="F143" s="1">
        <v>1</v>
      </c>
      <c r="G143" s="1">
        <v>1</v>
      </c>
      <c r="H143" s="1" t="s">
        <v>27</v>
      </c>
      <c r="I143" s="1" t="s">
        <v>83</v>
      </c>
      <c r="J143" s="26" t="s">
        <v>599</v>
      </c>
      <c r="K143" s="15">
        <v>58250</v>
      </c>
      <c r="L143" s="16" t="s">
        <v>28</v>
      </c>
      <c r="M143" s="1"/>
      <c r="N143" s="1"/>
      <c r="O143" s="1"/>
      <c r="P143" s="1"/>
      <c r="Q143" s="1" t="s">
        <v>23</v>
      </c>
      <c r="R143" s="1" t="s">
        <v>23</v>
      </c>
      <c r="S143" s="1" t="s">
        <v>23</v>
      </c>
      <c r="T143" s="1"/>
      <c r="U143" s="1"/>
    </row>
    <row r="144" spans="1:21" s="4" customFormat="1" x14ac:dyDescent="0.3">
      <c r="A144" s="17">
        <v>142</v>
      </c>
      <c r="B144" s="20" t="s">
        <v>758</v>
      </c>
      <c r="C144" s="21" t="s">
        <v>374</v>
      </c>
      <c r="D144" s="20" t="s">
        <v>573</v>
      </c>
      <c r="E144" s="1" t="s">
        <v>368</v>
      </c>
      <c r="F144" s="1">
        <v>1</v>
      </c>
      <c r="G144" s="1">
        <v>1</v>
      </c>
      <c r="H144" s="1" t="s">
        <v>27</v>
      </c>
      <c r="I144" s="1" t="s">
        <v>30</v>
      </c>
      <c r="J144" s="1"/>
      <c r="K144" s="15">
        <v>56710</v>
      </c>
      <c r="L144" s="2" t="s">
        <v>57</v>
      </c>
      <c r="M144" s="1"/>
      <c r="N144" s="1"/>
      <c r="O144" s="1"/>
      <c r="P144" s="1"/>
      <c r="Q144" s="1" t="s">
        <v>375</v>
      </c>
      <c r="R144" s="1">
        <v>460</v>
      </c>
      <c r="S144" s="1">
        <v>3</v>
      </c>
      <c r="T144" s="1"/>
      <c r="U144" s="1"/>
    </row>
    <row r="145" spans="1:21" s="4" customFormat="1" x14ac:dyDescent="0.3">
      <c r="A145" s="17">
        <v>143</v>
      </c>
      <c r="B145" s="20" t="s">
        <v>759</v>
      </c>
      <c r="C145" s="21" t="s">
        <v>376</v>
      </c>
      <c r="D145" s="20" t="s">
        <v>37</v>
      </c>
      <c r="E145" s="1" t="s">
        <v>368</v>
      </c>
      <c r="F145" s="1">
        <v>2</v>
      </c>
      <c r="G145" s="23" t="s">
        <v>46</v>
      </c>
      <c r="H145" s="1" t="s">
        <v>27</v>
      </c>
      <c r="I145" s="1" t="s">
        <v>30</v>
      </c>
      <c r="J145" s="26" t="s">
        <v>624</v>
      </c>
      <c r="K145" s="15">
        <v>54120</v>
      </c>
      <c r="L145" s="30" t="s">
        <v>134</v>
      </c>
      <c r="M145" s="1" t="s">
        <v>377</v>
      </c>
      <c r="N145" s="1" t="s">
        <v>378</v>
      </c>
      <c r="O145" s="1"/>
      <c r="P145" s="1"/>
      <c r="Q145" s="1">
        <v>200</v>
      </c>
      <c r="R145" s="1">
        <v>460</v>
      </c>
      <c r="S145" s="1">
        <v>3</v>
      </c>
      <c r="T145" s="1"/>
      <c r="U145" s="1"/>
    </row>
    <row r="146" spans="1:21" s="4" customFormat="1" ht="31.2" x14ac:dyDescent="0.3">
      <c r="A146" s="17">
        <v>144</v>
      </c>
      <c r="B146" s="20" t="s">
        <v>384</v>
      </c>
      <c r="C146" s="21" t="s">
        <v>379</v>
      </c>
      <c r="D146" s="20" t="s">
        <v>298</v>
      </c>
      <c r="E146" s="1" t="s">
        <v>380</v>
      </c>
      <c r="F146" s="1">
        <v>1</v>
      </c>
      <c r="G146" s="1">
        <v>1</v>
      </c>
      <c r="H146" s="1" t="s">
        <v>27</v>
      </c>
      <c r="I146" s="1" t="s">
        <v>30</v>
      </c>
      <c r="J146" s="1" t="s">
        <v>534</v>
      </c>
      <c r="K146" s="15">
        <v>53610</v>
      </c>
      <c r="L146" s="38" t="s">
        <v>381</v>
      </c>
      <c r="M146" s="1" t="s">
        <v>382</v>
      </c>
      <c r="N146" s="1">
        <v>10.3</v>
      </c>
      <c r="O146" s="1"/>
      <c r="P146" s="1"/>
      <c r="Q146" s="19" t="s">
        <v>383</v>
      </c>
      <c r="R146" s="1" t="s">
        <v>21</v>
      </c>
      <c r="S146" s="1">
        <v>60</v>
      </c>
      <c r="T146" s="1"/>
      <c r="U146" s="1"/>
    </row>
    <row r="147" spans="1:21" s="4" customFormat="1" ht="31.2" x14ac:dyDescent="0.3">
      <c r="A147" s="17">
        <v>145</v>
      </c>
      <c r="B147" s="20" t="s">
        <v>760</v>
      </c>
      <c r="C147" s="42" t="s">
        <v>385</v>
      </c>
      <c r="D147" s="20" t="s">
        <v>386</v>
      </c>
      <c r="E147" s="1" t="s">
        <v>380</v>
      </c>
      <c r="F147" s="1">
        <v>1</v>
      </c>
      <c r="G147" s="1">
        <v>1</v>
      </c>
      <c r="H147" s="1" t="s">
        <v>27</v>
      </c>
      <c r="I147" s="1" t="s">
        <v>30</v>
      </c>
      <c r="J147" s="1"/>
      <c r="K147" s="15">
        <v>53610</v>
      </c>
      <c r="L147" s="2" t="s">
        <v>381</v>
      </c>
      <c r="M147" s="1"/>
      <c r="N147" s="1"/>
      <c r="O147" s="1"/>
      <c r="P147" s="1"/>
      <c r="Q147" s="1">
        <v>125</v>
      </c>
      <c r="R147" s="1">
        <v>460</v>
      </c>
      <c r="S147" s="1">
        <v>3</v>
      </c>
      <c r="T147" s="1"/>
      <c r="U147" s="1"/>
    </row>
    <row r="148" spans="1:21" s="4" customFormat="1" ht="31.2" x14ac:dyDescent="0.3">
      <c r="A148" s="17">
        <v>146</v>
      </c>
      <c r="B148" s="20" t="s">
        <v>761</v>
      </c>
      <c r="C148" s="42" t="s">
        <v>387</v>
      </c>
      <c r="D148" s="20" t="s">
        <v>30</v>
      </c>
      <c r="E148" s="1" t="s">
        <v>380</v>
      </c>
      <c r="F148" s="1">
        <v>2</v>
      </c>
      <c r="G148" s="19" t="s">
        <v>388</v>
      </c>
      <c r="H148" s="1" t="s">
        <v>27</v>
      </c>
      <c r="I148" s="1" t="s">
        <v>30</v>
      </c>
      <c r="J148" s="1"/>
      <c r="K148" s="15">
        <v>53610</v>
      </c>
      <c r="L148" s="2" t="s">
        <v>381</v>
      </c>
      <c r="M148" s="1"/>
      <c r="N148" s="1"/>
      <c r="O148" s="1"/>
      <c r="P148" s="1"/>
      <c r="Q148" s="1">
        <v>20</v>
      </c>
      <c r="R148" s="1">
        <v>460</v>
      </c>
      <c r="S148" s="1">
        <v>3</v>
      </c>
      <c r="T148" s="1"/>
      <c r="U148" s="1"/>
    </row>
    <row r="149" spans="1:21" s="4" customFormat="1" ht="31.2" x14ac:dyDescent="0.3">
      <c r="A149" s="17">
        <v>147</v>
      </c>
      <c r="B149" s="20" t="s">
        <v>762</v>
      </c>
      <c r="C149" s="42" t="s">
        <v>389</v>
      </c>
      <c r="D149" s="20" t="s">
        <v>30</v>
      </c>
      <c r="E149" s="1" t="s">
        <v>380</v>
      </c>
      <c r="F149" s="1">
        <v>1</v>
      </c>
      <c r="G149" s="1">
        <v>1</v>
      </c>
      <c r="H149" s="1" t="s">
        <v>27</v>
      </c>
      <c r="I149" s="1" t="s">
        <v>74</v>
      </c>
      <c r="J149" s="1" t="s">
        <v>550</v>
      </c>
      <c r="K149" s="15">
        <v>53610</v>
      </c>
      <c r="L149" s="2" t="s">
        <v>381</v>
      </c>
      <c r="M149" s="1">
        <v>20.41</v>
      </c>
      <c r="N149" s="1">
        <v>50</v>
      </c>
      <c r="O149" s="1"/>
      <c r="P149" s="1"/>
      <c r="Q149" s="19" t="s">
        <v>23</v>
      </c>
      <c r="R149" s="19" t="s">
        <v>23</v>
      </c>
      <c r="S149" s="19" t="s">
        <v>23</v>
      </c>
      <c r="T149" s="1"/>
      <c r="U149" s="1"/>
    </row>
    <row r="150" spans="1:21" s="4" customFormat="1" ht="31.2" x14ac:dyDescent="0.3">
      <c r="A150" s="17">
        <v>148</v>
      </c>
      <c r="B150" s="20" t="s">
        <v>763</v>
      </c>
      <c r="C150" s="42" t="s">
        <v>392</v>
      </c>
      <c r="D150" s="20"/>
      <c r="E150" s="1" t="s">
        <v>380</v>
      </c>
      <c r="F150" s="1">
        <v>1</v>
      </c>
      <c r="G150" s="1">
        <v>1</v>
      </c>
      <c r="H150" s="1" t="s">
        <v>27</v>
      </c>
      <c r="I150" s="1" t="s">
        <v>83</v>
      </c>
      <c r="J150" s="1"/>
      <c r="K150" s="15">
        <v>53610</v>
      </c>
      <c r="L150" s="2" t="s">
        <v>381</v>
      </c>
      <c r="M150" s="1"/>
      <c r="N150" s="1">
        <v>150</v>
      </c>
      <c r="O150" s="1"/>
      <c r="P150" s="1"/>
      <c r="Q150" s="1" t="s">
        <v>23</v>
      </c>
      <c r="R150" s="1" t="s">
        <v>23</v>
      </c>
      <c r="S150" s="1" t="s">
        <v>23</v>
      </c>
      <c r="T150" s="1"/>
      <c r="U150" s="1"/>
    </row>
    <row r="151" spans="1:21" s="4" customFormat="1" ht="31.2" x14ac:dyDescent="0.3">
      <c r="A151" s="17">
        <v>149</v>
      </c>
      <c r="B151" s="20" t="s">
        <v>764</v>
      </c>
      <c r="C151" s="42" t="s">
        <v>390</v>
      </c>
      <c r="D151" s="20" t="s">
        <v>391</v>
      </c>
      <c r="E151" s="1" t="s">
        <v>380</v>
      </c>
      <c r="F151" s="1">
        <v>1</v>
      </c>
      <c r="G151" s="1">
        <v>1</v>
      </c>
      <c r="H151" s="1" t="s">
        <v>27</v>
      </c>
      <c r="I151" s="1" t="s">
        <v>74</v>
      </c>
      <c r="J151" s="1" t="s">
        <v>560</v>
      </c>
      <c r="K151" s="15">
        <v>53610</v>
      </c>
      <c r="L151" s="2" t="s">
        <v>381</v>
      </c>
      <c r="M151" s="1"/>
      <c r="N151" s="1">
        <v>150</v>
      </c>
      <c r="O151" s="1"/>
      <c r="P151" s="1"/>
      <c r="Q151" s="1" t="s">
        <v>23</v>
      </c>
      <c r="R151" s="1" t="s">
        <v>23</v>
      </c>
      <c r="S151" s="1" t="s">
        <v>23</v>
      </c>
      <c r="T151" s="1"/>
      <c r="U151" s="1"/>
    </row>
    <row r="152" spans="1:21" s="4" customFormat="1" ht="77.25" customHeight="1" x14ac:dyDescent="0.3">
      <c r="A152" s="17">
        <v>150</v>
      </c>
      <c r="B152" s="20" t="s">
        <v>398</v>
      </c>
      <c r="C152" s="21" t="s">
        <v>393</v>
      </c>
      <c r="D152" s="20" t="s">
        <v>458</v>
      </c>
      <c r="E152" s="1" t="s">
        <v>394</v>
      </c>
      <c r="F152" s="1">
        <v>3</v>
      </c>
      <c r="G152" s="19">
        <v>3</v>
      </c>
      <c r="H152" s="1" t="s">
        <v>27</v>
      </c>
      <c r="I152" s="1" t="s">
        <v>395</v>
      </c>
      <c r="J152" s="1" t="s">
        <v>535</v>
      </c>
      <c r="K152" s="15">
        <v>53410</v>
      </c>
      <c r="L152" s="38" t="s">
        <v>396</v>
      </c>
      <c r="M152" s="1"/>
      <c r="N152" s="1"/>
      <c r="O152" s="1"/>
      <c r="P152" s="1"/>
      <c r="Q152" s="1">
        <v>250</v>
      </c>
      <c r="R152" s="1">
        <v>4000</v>
      </c>
      <c r="S152" s="1" t="s">
        <v>21</v>
      </c>
      <c r="T152" s="1" t="s">
        <v>397</v>
      </c>
      <c r="U152" s="49"/>
    </row>
    <row r="153" spans="1:21" s="4" customFormat="1" ht="31.2" x14ac:dyDescent="0.3">
      <c r="A153" s="17">
        <v>151</v>
      </c>
      <c r="B153" s="20" t="s">
        <v>765</v>
      </c>
      <c r="C153" s="22" t="s">
        <v>399</v>
      </c>
      <c r="D153" s="20"/>
      <c r="E153" s="1" t="s">
        <v>505</v>
      </c>
      <c r="F153" s="1">
        <v>1</v>
      </c>
      <c r="G153" s="1">
        <v>1</v>
      </c>
      <c r="H153" s="1" t="s">
        <v>27</v>
      </c>
      <c r="I153" s="1" t="s">
        <v>30</v>
      </c>
      <c r="J153" s="1"/>
      <c r="K153" s="15">
        <v>53410</v>
      </c>
      <c r="L153" s="38" t="s">
        <v>396</v>
      </c>
      <c r="M153" s="1"/>
      <c r="N153" s="1"/>
      <c r="O153" s="1"/>
      <c r="P153" s="1"/>
      <c r="Q153" s="1"/>
      <c r="R153" s="1"/>
      <c r="S153" s="1"/>
      <c r="T153" s="1"/>
      <c r="U153" s="1"/>
    </row>
    <row r="154" spans="1:21" s="31" customFormat="1" ht="31.2" x14ac:dyDescent="0.3">
      <c r="A154" s="17">
        <v>152</v>
      </c>
      <c r="B154" s="20" t="s">
        <v>766</v>
      </c>
      <c r="C154" s="22" t="s">
        <v>400</v>
      </c>
      <c r="D154" s="20"/>
      <c r="E154" s="1" t="s">
        <v>505</v>
      </c>
      <c r="F154" s="1">
        <v>1</v>
      </c>
      <c r="G154" s="1">
        <v>1</v>
      </c>
      <c r="H154" s="1" t="s">
        <v>27</v>
      </c>
      <c r="I154" s="1" t="s">
        <v>30</v>
      </c>
      <c r="J154" s="1"/>
      <c r="K154" s="15">
        <v>53410</v>
      </c>
      <c r="L154" s="38" t="s">
        <v>396</v>
      </c>
      <c r="M154" s="1"/>
      <c r="N154" s="1"/>
      <c r="O154" s="1"/>
      <c r="P154" s="1"/>
      <c r="Q154" s="1"/>
      <c r="R154" s="1"/>
      <c r="S154" s="1"/>
      <c r="T154" s="1"/>
      <c r="U154" s="1"/>
    </row>
    <row r="155" spans="1:21" s="4" customFormat="1" ht="31.2" x14ac:dyDescent="0.3">
      <c r="A155" s="17">
        <v>154</v>
      </c>
      <c r="B155" s="20" t="s">
        <v>767</v>
      </c>
      <c r="C155" s="22" t="s">
        <v>401</v>
      </c>
      <c r="D155" s="20" t="s">
        <v>488</v>
      </c>
      <c r="E155" s="1" t="s">
        <v>402</v>
      </c>
      <c r="F155" s="1">
        <v>1</v>
      </c>
      <c r="G155" s="1">
        <v>1</v>
      </c>
      <c r="H155" s="1" t="s">
        <v>27</v>
      </c>
      <c r="I155" s="1" t="s">
        <v>74</v>
      </c>
      <c r="J155" s="26" t="s">
        <v>590</v>
      </c>
      <c r="K155" s="15">
        <v>53410</v>
      </c>
      <c r="L155" s="38" t="s">
        <v>396</v>
      </c>
      <c r="M155" s="1"/>
      <c r="N155" s="1"/>
      <c r="O155" s="1"/>
      <c r="P155" s="1"/>
      <c r="Q155" s="1" t="s">
        <v>23</v>
      </c>
      <c r="R155" s="1" t="s">
        <v>23</v>
      </c>
      <c r="S155" s="1" t="s">
        <v>23</v>
      </c>
      <c r="T155" s="1"/>
      <c r="U155" s="1"/>
    </row>
    <row r="156" spans="1:21" s="4" customFormat="1" ht="31.2" x14ac:dyDescent="0.3">
      <c r="A156" s="17">
        <v>155</v>
      </c>
      <c r="B156" s="20" t="s">
        <v>768</v>
      </c>
      <c r="C156" s="21" t="s">
        <v>104</v>
      </c>
      <c r="D156" s="20" t="s">
        <v>25</v>
      </c>
      <c r="E156" s="1" t="s">
        <v>26</v>
      </c>
      <c r="F156" s="1">
        <v>3</v>
      </c>
      <c r="G156" s="1">
        <v>3</v>
      </c>
      <c r="H156" s="1" t="s">
        <v>27</v>
      </c>
      <c r="I156" s="1" t="s">
        <v>83</v>
      </c>
      <c r="J156" s="26" t="s">
        <v>599</v>
      </c>
      <c r="K156" s="15">
        <v>58250</v>
      </c>
      <c r="L156" s="16" t="s">
        <v>28</v>
      </c>
      <c r="M156" s="1"/>
      <c r="N156" s="1"/>
      <c r="O156" s="1"/>
      <c r="P156" s="1"/>
      <c r="Q156" s="1" t="s">
        <v>23</v>
      </c>
      <c r="R156" s="1" t="s">
        <v>23</v>
      </c>
      <c r="S156" s="1" t="s">
        <v>23</v>
      </c>
      <c r="T156" s="1"/>
      <c r="U156" s="1"/>
    </row>
    <row r="157" spans="1:21" s="4" customFormat="1" x14ac:dyDescent="0.3">
      <c r="A157" s="17">
        <v>156</v>
      </c>
      <c r="B157" s="20" t="s">
        <v>406</v>
      </c>
      <c r="C157" s="21" t="s">
        <v>403</v>
      </c>
      <c r="D157" s="20" t="s">
        <v>30</v>
      </c>
      <c r="E157" s="1" t="s">
        <v>404</v>
      </c>
      <c r="F157" s="1">
        <v>1</v>
      </c>
      <c r="G157" s="52">
        <v>1</v>
      </c>
      <c r="H157" s="1" t="s">
        <v>77</v>
      </c>
      <c r="I157" s="19" t="s">
        <v>30</v>
      </c>
      <c r="J157" s="1"/>
      <c r="K157" s="15">
        <v>56750</v>
      </c>
      <c r="L157" s="2" t="s">
        <v>405</v>
      </c>
      <c r="M157" s="1"/>
      <c r="N157" s="1"/>
      <c r="O157" s="1"/>
      <c r="P157" s="1"/>
      <c r="Q157" s="1"/>
      <c r="R157" s="1"/>
      <c r="S157" s="1"/>
      <c r="T157" s="1"/>
      <c r="U157" s="1"/>
    </row>
    <row r="158" spans="1:21" s="4" customFormat="1" ht="31.2" x14ac:dyDescent="0.3">
      <c r="A158" s="17">
        <v>157</v>
      </c>
      <c r="B158" s="20" t="s">
        <v>769</v>
      </c>
      <c r="C158" s="22" t="s">
        <v>473</v>
      </c>
      <c r="D158" s="20" t="s">
        <v>30</v>
      </c>
      <c r="E158" s="1" t="s">
        <v>404</v>
      </c>
      <c r="F158" s="1">
        <v>1</v>
      </c>
      <c r="G158" s="52" t="s">
        <v>476</v>
      </c>
      <c r="H158" s="1" t="s">
        <v>27</v>
      </c>
      <c r="I158" s="1" t="s">
        <v>30</v>
      </c>
      <c r="J158" s="1" t="s">
        <v>536</v>
      </c>
      <c r="K158" s="15">
        <v>56750</v>
      </c>
      <c r="L158" s="38" t="s">
        <v>405</v>
      </c>
      <c r="M158" s="1"/>
      <c r="N158" s="1"/>
      <c r="O158" s="1"/>
      <c r="P158" s="1"/>
      <c r="Q158" s="1"/>
      <c r="R158" s="1"/>
      <c r="S158" s="1"/>
      <c r="T158" s="1"/>
      <c r="U158" s="1"/>
    </row>
    <row r="159" spans="1:21" s="4" customFormat="1" ht="31.2" x14ac:dyDescent="0.3">
      <c r="A159" s="17">
        <v>158</v>
      </c>
      <c r="B159" s="20" t="s">
        <v>770</v>
      </c>
      <c r="C159" s="22" t="s">
        <v>474</v>
      </c>
      <c r="D159" s="20"/>
      <c r="E159" s="1" t="s">
        <v>404</v>
      </c>
      <c r="F159" s="1">
        <v>3</v>
      </c>
      <c r="G159" s="52" t="s">
        <v>133</v>
      </c>
      <c r="H159" s="1" t="s">
        <v>27</v>
      </c>
      <c r="I159" s="1" t="s">
        <v>30</v>
      </c>
      <c r="J159" s="1" t="s">
        <v>551</v>
      </c>
      <c r="K159" s="15">
        <v>56750</v>
      </c>
      <c r="L159" s="38" t="s">
        <v>405</v>
      </c>
      <c r="M159" s="1">
        <v>111</v>
      </c>
      <c r="N159" s="1"/>
      <c r="O159" s="1"/>
      <c r="P159" s="1"/>
      <c r="Q159" s="1" t="s">
        <v>23</v>
      </c>
      <c r="R159" s="1" t="s">
        <v>23</v>
      </c>
      <c r="S159" s="1" t="s">
        <v>23</v>
      </c>
      <c r="T159" s="1"/>
      <c r="U159" s="1"/>
    </row>
    <row r="160" spans="1:21" s="4" customFormat="1" ht="46.8" x14ac:dyDescent="0.3">
      <c r="A160" s="17">
        <v>159</v>
      </c>
      <c r="B160" s="20" t="s">
        <v>771</v>
      </c>
      <c r="C160" s="42" t="s">
        <v>407</v>
      </c>
      <c r="D160" s="20" t="s">
        <v>471</v>
      </c>
      <c r="E160" s="1" t="s">
        <v>404</v>
      </c>
      <c r="F160" s="1">
        <v>4</v>
      </c>
      <c r="G160" s="52" t="s">
        <v>472</v>
      </c>
      <c r="H160" s="1" t="s">
        <v>27</v>
      </c>
      <c r="I160" s="1" t="s">
        <v>83</v>
      </c>
      <c r="J160" s="1" t="s">
        <v>552</v>
      </c>
      <c r="K160" s="15">
        <v>56750</v>
      </c>
      <c r="L160" s="2" t="s">
        <v>405</v>
      </c>
      <c r="M160" s="1"/>
      <c r="N160" s="1"/>
      <c r="O160" s="1"/>
      <c r="P160" s="1"/>
      <c r="Q160" s="1" t="s">
        <v>23</v>
      </c>
      <c r="R160" s="1" t="s">
        <v>23</v>
      </c>
      <c r="S160" s="1" t="s">
        <v>23</v>
      </c>
      <c r="T160" s="1"/>
      <c r="U160" s="1"/>
    </row>
    <row r="161" spans="1:21" s="50" customFormat="1" ht="62.4" x14ac:dyDescent="0.3">
      <c r="A161" s="17">
        <v>160</v>
      </c>
      <c r="B161" s="20" t="s">
        <v>772</v>
      </c>
      <c r="C161" s="42" t="s">
        <v>481</v>
      </c>
      <c r="D161" s="20" t="s">
        <v>480</v>
      </c>
      <c r="E161" s="1" t="s">
        <v>404</v>
      </c>
      <c r="F161" s="1">
        <v>1</v>
      </c>
      <c r="G161" s="52">
        <v>1</v>
      </c>
      <c r="H161" s="1" t="s">
        <v>77</v>
      </c>
      <c r="I161" s="1" t="s">
        <v>30</v>
      </c>
      <c r="J161" s="1" t="s">
        <v>537</v>
      </c>
      <c r="K161" s="32">
        <v>56750</v>
      </c>
      <c r="L161" s="38" t="s">
        <v>405</v>
      </c>
      <c r="M161" s="1"/>
      <c r="N161" s="1"/>
      <c r="O161" s="1"/>
      <c r="P161" s="1"/>
      <c r="Q161" s="1" t="s">
        <v>408</v>
      </c>
      <c r="R161" s="1">
        <v>460</v>
      </c>
      <c r="S161" s="1">
        <v>3</v>
      </c>
      <c r="T161" s="1"/>
      <c r="U161" s="1"/>
    </row>
    <row r="162" spans="1:21" s="4" customFormat="1" ht="31.2" x14ac:dyDescent="0.3">
      <c r="A162" s="17">
        <v>161</v>
      </c>
      <c r="B162" s="20" t="s">
        <v>773</v>
      </c>
      <c r="C162" s="42" t="s">
        <v>409</v>
      </c>
      <c r="D162" s="20" t="s">
        <v>30</v>
      </c>
      <c r="E162" s="1" t="s">
        <v>404</v>
      </c>
      <c r="F162" s="1">
        <v>1</v>
      </c>
      <c r="G162" s="52">
        <v>1</v>
      </c>
      <c r="H162" s="1" t="s">
        <v>27</v>
      </c>
      <c r="I162" s="1" t="s">
        <v>499</v>
      </c>
      <c r="J162" s="1" t="s">
        <v>538</v>
      </c>
      <c r="K162" s="15">
        <v>56750</v>
      </c>
      <c r="L162" s="38" t="s">
        <v>405</v>
      </c>
      <c r="M162" s="1"/>
      <c r="N162" s="1"/>
      <c r="O162" s="1"/>
      <c r="P162" s="1"/>
      <c r="Q162" s="1" t="s">
        <v>410</v>
      </c>
      <c r="R162" s="1">
        <v>460</v>
      </c>
      <c r="S162" s="1">
        <v>3</v>
      </c>
      <c r="T162" s="1"/>
      <c r="U162" s="1"/>
    </row>
    <row r="163" spans="1:21" s="4" customFormat="1" ht="31.2" x14ac:dyDescent="0.3">
      <c r="A163" s="17">
        <v>162</v>
      </c>
      <c r="B163" s="20" t="s">
        <v>774</v>
      </c>
      <c r="C163" s="22" t="s">
        <v>478</v>
      </c>
      <c r="D163" s="20"/>
      <c r="E163" s="1" t="s">
        <v>404</v>
      </c>
      <c r="F163" s="1">
        <v>1</v>
      </c>
      <c r="G163" s="52" t="s">
        <v>476</v>
      </c>
      <c r="H163" s="1" t="s">
        <v>27</v>
      </c>
      <c r="I163" s="1" t="s">
        <v>479</v>
      </c>
      <c r="J163" s="1" t="s">
        <v>539</v>
      </c>
      <c r="K163" s="15">
        <v>56750</v>
      </c>
      <c r="L163" s="38" t="s">
        <v>405</v>
      </c>
      <c r="M163" s="1"/>
      <c r="N163" s="1"/>
      <c r="O163" s="1"/>
      <c r="P163" s="1"/>
      <c r="Q163" s="1"/>
      <c r="R163" s="1"/>
      <c r="S163" s="1"/>
      <c r="T163" s="1"/>
      <c r="U163" s="1"/>
    </row>
    <row r="164" spans="1:21" s="4" customFormat="1" ht="46.8" x14ac:dyDescent="0.3">
      <c r="A164" s="17">
        <v>163</v>
      </c>
      <c r="B164" s="20" t="s">
        <v>775</v>
      </c>
      <c r="C164" s="42" t="s">
        <v>411</v>
      </c>
      <c r="D164" s="20" t="s">
        <v>30</v>
      </c>
      <c r="E164" s="1" t="s">
        <v>404</v>
      </c>
      <c r="F164" s="1">
        <v>4</v>
      </c>
      <c r="G164" s="52" t="s">
        <v>472</v>
      </c>
      <c r="H164" s="1" t="s">
        <v>27</v>
      </c>
      <c r="I164" s="1" t="s">
        <v>483</v>
      </c>
      <c r="J164" s="1" t="s">
        <v>540</v>
      </c>
      <c r="K164" s="15">
        <v>56750</v>
      </c>
      <c r="L164" s="38" t="s">
        <v>405</v>
      </c>
      <c r="M164" s="1"/>
      <c r="N164" s="1"/>
      <c r="O164" s="1"/>
      <c r="P164" s="1"/>
      <c r="Q164" s="1"/>
      <c r="R164" s="1"/>
      <c r="S164" s="1"/>
      <c r="T164" s="1"/>
      <c r="U164" s="1"/>
    </row>
    <row r="165" spans="1:21" s="29" customFormat="1" ht="31.2" x14ac:dyDescent="0.3">
      <c r="A165" s="17">
        <v>164</v>
      </c>
      <c r="B165" s="20" t="s">
        <v>776</v>
      </c>
      <c r="C165" s="22" t="s">
        <v>475</v>
      </c>
      <c r="D165" s="20" t="s">
        <v>30</v>
      </c>
      <c r="E165" s="1" t="s">
        <v>404</v>
      </c>
      <c r="F165" s="1">
        <v>1</v>
      </c>
      <c r="G165" s="52" t="s">
        <v>476</v>
      </c>
      <c r="H165" s="1" t="s">
        <v>27</v>
      </c>
      <c r="I165" s="1" t="s">
        <v>477</v>
      </c>
      <c r="J165" s="1" t="s">
        <v>541</v>
      </c>
      <c r="K165" s="15">
        <v>56750</v>
      </c>
      <c r="L165" s="38" t="s">
        <v>405</v>
      </c>
      <c r="M165" s="1">
        <v>82</v>
      </c>
      <c r="N165" s="1"/>
      <c r="O165" s="1"/>
      <c r="P165" s="1"/>
      <c r="Q165" s="1" t="s">
        <v>412</v>
      </c>
      <c r="R165" s="1">
        <v>460</v>
      </c>
      <c r="S165" s="1">
        <v>1</v>
      </c>
      <c r="T165" s="1"/>
      <c r="U165" s="1"/>
    </row>
    <row r="166" spans="1:21" s="29" customFormat="1" x14ac:dyDescent="0.3">
      <c r="A166" s="17">
        <v>165</v>
      </c>
      <c r="B166" s="20" t="s">
        <v>587</v>
      </c>
      <c r="C166" s="21" t="s">
        <v>582</v>
      </c>
      <c r="D166" s="20"/>
      <c r="E166" s="1" t="s">
        <v>504</v>
      </c>
      <c r="F166" s="1">
        <v>1</v>
      </c>
      <c r="G166" s="1">
        <v>1</v>
      </c>
      <c r="H166" s="1" t="s">
        <v>27</v>
      </c>
      <c r="I166" s="1" t="s">
        <v>74</v>
      </c>
      <c r="J166" s="1"/>
      <c r="K166" s="15">
        <v>56794</v>
      </c>
      <c r="L166" s="2" t="s">
        <v>32</v>
      </c>
      <c r="M166" s="1">
        <v>82</v>
      </c>
      <c r="N166" s="1"/>
      <c r="O166" s="1"/>
      <c r="P166" s="1"/>
      <c r="Q166" s="1" t="s">
        <v>412</v>
      </c>
      <c r="R166" s="1">
        <v>460</v>
      </c>
      <c r="S166" s="1">
        <v>1</v>
      </c>
      <c r="T166" s="1"/>
      <c r="U166" s="1"/>
    </row>
    <row r="167" spans="1:21" s="4" customFormat="1" ht="31.2" x14ac:dyDescent="0.3">
      <c r="A167" s="17">
        <v>166</v>
      </c>
      <c r="B167" s="20" t="s">
        <v>777</v>
      </c>
      <c r="C167" s="22" t="s">
        <v>583</v>
      </c>
      <c r="D167" s="20" t="s">
        <v>37</v>
      </c>
      <c r="E167" s="1" t="s">
        <v>504</v>
      </c>
      <c r="F167" s="1">
        <v>2</v>
      </c>
      <c r="G167" s="23" t="s">
        <v>46</v>
      </c>
      <c r="H167" s="1" t="s">
        <v>27</v>
      </c>
      <c r="I167" s="1"/>
      <c r="J167" s="1"/>
      <c r="K167" s="15">
        <v>56794</v>
      </c>
      <c r="L167" s="2" t="s">
        <v>32</v>
      </c>
      <c r="M167" s="1"/>
      <c r="N167" s="1"/>
      <c r="O167" s="1"/>
      <c r="P167" s="1"/>
      <c r="Q167" s="1"/>
      <c r="R167" s="1"/>
      <c r="S167" s="1"/>
      <c r="T167" s="1"/>
      <c r="U167" s="1"/>
    </row>
    <row r="168" spans="1:21" s="4" customFormat="1" x14ac:dyDescent="0.3">
      <c r="A168" s="17">
        <v>167</v>
      </c>
      <c r="B168" s="20" t="s">
        <v>778</v>
      </c>
      <c r="C168" s="21" t="s">
        <v>413</v>
      </c>
      <c r="D168" s="20" t="s">
        <v>414</v>
      </c>
      <c r="E168" s="1" t="s">
        <v>380</v>
      </c>
      <c r="F168" s="1">
        <v>1</v>
      </c>
      <c r="G168" s="1">
        <v>1</v>
      </c>
      <c r="H168" s="1" t="s">
        <v>27</v>
      </c>
      <c r="I168" s="1" t="s">
        <v>30</v>
      </c>
      <c r="J168" s="1"/>
      <c r="K168" s="15">
        <v>56710</v>
      </c>
      <c r="L168" s="2" t="s">
        <v>57</v>
      </c>
      <c r="M168" s="1"/>
      <c r="N168" s="1"/>
      <c r="O168" s="1"/>
      <c r="P168" s="1"/>
      <c r="Q168" s="1"/>
      <c r="R168" s="1"/>
      <c r="S168" s="1"/>
      <c r="T168" s="1"/>
      <c r="U168" s="1"/>
    </row>
    <row r="169" spans="1:21" s="4" customFormat="1" x14ac:dyDescent="0.3">
      <c r="A169" s="17">
        <v>168</v>
      </c>
      <c r="B169" s="20" t="s">
        <v>779</v>
      </c>
      <c r="C169" s="20" t="s">
        <v>415</v>
      </c>
      <c r="D169" s="20" t="s">
        <v>30</v>
      </c>
      <c r="E169" s="1" t="s">
        <v>416</v>
      </c>
      <c r="F169" s="1">
        <v>2</v>
      </c>
      <c r="G169" s="1" t="s">
        <v>46</v>
      </c>
      <c r="H169" s="1" t="s">
        <v>27</v>
      </c>
      <c r="I169" s="1" t="s">
        <v>30</v>
      </c>
      <c r="J169" s="26" t="s">
        <v>625</v>
      </c>
      <c r="K169" s="15">
        <v>54120</v>
      </c>
      <c r="L169" s="30" t="s">
        <v>134</v>
      </c>
      <c r="M169" s="1"/>
      <c r="N169" s="1"/>
      <c r="O169" s="1"/>
      <c r="P169" s="1"/>
      <c r="Q169" s="1"/>
      <c r="R169" s="1"/>
      <c r="S169" s="1"/>
      <c r="T169" s="1"/>
      <c r="U169" s="1"/>
    </row>
    <row r="170" spans="1:21" s="31" customFormat="1" x14ac:dyDescent="0.3">
      <c r="A170" s="17">
        <v>169</v>
      </c>
      <c r="B170" s="20" t="s">
        <v>780</v>
      </c>
      <c r="C170" s="21" t="s">
        <v>417</v>
      </c>
      <c r="D170" s="20" t="s">
        <v>30</v>
      </c>
      <c r="E170" s="1" t="s">
        <v>418</v>
      </c>
      <c r="F170" s="1">
        <v>2</v>
      </c>
      <c r="G170" s="1" t="s">
        <v>46</v>
      </c>
      <c r="H170" s="1" t="s">
        <v>27</v>
      </c>
      <c r="I170" s="1" t="s">
        <v>30</v>
      </c>
      <c r="J170" s="26" t="s">
        <v>626</v>
      </c>
      <c r="K170" s="15">
        <v>54120</v>
      </c>
      <c r="L170" s="30" t="s">
        <v>134</v>
      </c>
      <c r="M170" s="1"/>
      <c r="N170" s="1"/>
      <c r="O170" s="1"/>
      <c r="P170" s="1"/>
      <c r="Q170" s="1">
        <v>25</v>
      </c>
      <c r="R170" s="1" t="s">
        <v>21</v>
      </c>
      <c r="S170" s="1">
        <v>60</v>
      </c>
      <c r="T170" s="1"/>
      <c r="U170" s="1"/>
    </row>
    <row r="171" spans="1:21" s="4" customFormat="1" x14ac:dyDescent="0.3">
      <c r="A171" s="17">
        <v>170</v>
      </c>
      <c r="B171" s="20" t="s">
        <v>781</v>
      </c>
      <c r="C171" s="21" t="s">
        <v>420</v>
      </c>
      <c r="D171" s="20" t="s">
        <v>30</v>
      </c>
      <c r="E171" s="1" t="s">
        <v>404</v>
      </c>
      <c r="F171" s="1">
        <v>2</v>
      </c>
      <c r="G171" s="19" t="s">
        <v>46</v>
      </c>
      <c r="H171" s="1" t="s">
        <v>27</v>
      </c>
      <c r="I171" s="1" t="s">
        <v>30</v>
      </c>
      <c r="J171" s="1"/>
      <c r="K171" s="15">
        <v>54171</v>
      </c>
      <c r="L171" s="30" t="s">
        <v>313</v>
      </c>
      <c r="M171" s="1">
        <v>252</v>
      </c>
      <c r="N171" s="1" t="s">
        <v>419</v>
      </c>
      <c r="O171" s="1"/>
      <c r="P171" s="1"/>
      <c r="Q171" s="1">
        <v>15</v>
      </c>
      <c r="R171" s="1">
        <v>460</v>
      </c>
      <c r="S171" s="1">
        <v>3</v>
      </c>
      <c r="T171" s="1"/>
      <c r="U171" s="1"/>
    </row>
    <row r="172" spans="1:21" s="4" customFormat="1" x14ac:dyDescent="0.3">
      <c r="A172" s="17">
        <v>171</v>
      </c>
      <c r="B172" s="20" t="s">
        <v>782</v>
      </c>
      <c r="C172" s="21" t="s">
        <v>422</v>
      </c>
      <c r="D172" s="20" t="s">
        <v>503</v>
      </c>
      <c r="E172" s="1" t="s">
        <v>402</v>
      </c>
      <c r="F172" s="1">
        <v>2</v>
      </c>
      <c r="G172" s="1" t="s">
        <v>46</v>
      </c>
      <c r="H172" s="1" t="s">
        <v>27</v>
      </c>
      <c r="I172" s="1" t="s">
        <v>30</v>
      </c>
      <c r="J172" s="1" t="s">
        <v>547</v>
      </c>
      <c r="K172" s="15">
        <v>54120</v>
      </c>
      <c r="L172" s="30" t="s">
        <v>134</v>
      </c>
      <c r="M172" s="1" t="s">
        <v>421</v>
      </c>
      <c r="N172" s="1" t="s">
        <v>136</v>
      </c>
      <c r="O172" s="1"/>
      <c r="P172" s="1"/>
      <c r="Q172" s="1">
        <v>15</v>
      </c>
      <c r="R172" s="1">
        <v>460</v>
      </c>
      <c r="S172" s="1">
        <v>3</v>
      </c>
      <c r="T172" s="1"/>
      <c r="U172" s="1"/>
    </row>
    <row r="173" spans="1:21" s="4" customFormat="1" x14ac:dyDescent="0.3">
      <c r="A173" s="17">
        <v>172</v>
      </c>
      <c r="B173" s="20" t="s">
        <v>783</v>
      </c>
      <c r="C173" s="21" t="s">
        <v>425</v>
      </c>
      <c r="D173" s="20" t="s">
        <v>37</v>
      </c>
      <c r="E173" s="1" t="s">
        <v>402</v>
      </c>
      <c r="F173" s="1">
        <v>2</v>
      </c>
      <c r="G173" s="1" t="s">
        <v>46</v>
      </c>
      <c r="H173" s="1" t="s">
        <v>27</v>
      </c>
      <c r="I173" s="1" t="s">
        <v>30</v>
      </c>
      <c r="J173" s="26" t="s">
        <v>627</v>
      </c>
      <c r="K173" s="15">
        <v>54120</v>
      </c>
      <c r="L173" s="30" t="s">
        <v>134</v>
      </c>
      <c r="M173" s="1" t="s">
        <v>423</v>
      </c>
      <c r="N173" s="1"/>
      <c r="O173" s="1">
        <v>176</v>
      </c>
      <c r="P173" s="1" t="s">
        <v>424</v>
      </c>
      <c r="Q173" s="1">
        <v>100</v>
      </c>
      <c r="R173" s="1">
        <v>460</v>
      </c>
      <c r="S173" s="1">
        <v>3</v>
      </c>
      <c r="T173" s="1"/>
      <c r="U173" s="1"/>
    </row>
    <row r="174" spans="1:21" s="10" customFormat="1" x14ac:dyDescent="0.3">
      <c r="A174" s="34">
        <v>172</v>
      </c>
      <c r="B174" s="53" t="s">
        <v>784</v>
      </c>
      <c r="C174" s="54" t="s">
        <v>634</v>
      </c>
      <c r="D174" s="53" t="s">
        <v>37</v>
      </c>
      <c r="E174" s="35" t="s">
        <v>629</v>
      </c>
      <c r="F174" s="35">
        <v>2</v>
      </c>
      <c r="G174" s="35" t="s">
        <v>46</v>
      </c>
      <c r="H174" s="35" t="s">
        <v>27</v>
      </c>
      <c r="I174" s="35" t="s">
        <v>30</v>
      </c>
      <c r="J174" s="26"/>
      <c r="K174" s="55">
        <v>54120</v>
      </c>
      <c r="L174" s="56" t="s">
        <v>134</v>
      </c>
      <c r="M174" s="35" t="s">
        <v>423</v>
      </c>
      <c r="N174" s="35"/>
      <c r="O174" s="35">
        <v>176</v>
      </c>
      <c r="P174" s="35" t="s">
        <v>424</v>
      </c>
      <c r="Q174" s="35">
        <v>100</v>
      </c>
      <c r="R174" s="35">
        <v>460</v>
      </c>
      <c r="S174" s="35">
        <v>3</v>
      </c>
      <c r="T174" s="35"/>
      <c r="U174" s="35"/>
    </row>
    <row r="175" spans="1:21" s="4" customFormat="1" ht="31.2" x14ac:dyDescent="0.3">
      <c r="A175" s="17">
        <v>173</v>
      </c>
      <c r="B175" s="20" t="s">
        <v>430</v>
      </c>
      <c r="C175" s="21" t="s">
        <v>426</v>
      </c>
      <c r="D175" s="20" t="s">
        <v>457</v>
      </c>
      <c r="E175" s="1" t="s">
        <v>427</v>
      </c>
      <c r="F175" s="1">
        <v>1</v>
      </c>
      <c r="G175" s="1">
        <v>1</v>
      </c>
      <c r="H175" s="1" t="s">
        <v>27</v>
      </c>
      <c r="I175" s="1" t="s">
        <v>30</v>
      </c>
      <c r="J175" s="26" t="s">
        <v>589</v>
      </c>
      <c r="K175" s="15">
        <v>54523</v>
      </c>
      <c r="L175" s="2" t="s">
        <v>428</v>
      </c>
      <c r="M175" s="1" t="s">
        <v>423</v>
      </c>
      <c r="N175" s="1"/>
      <c r="O175" s="1">
        <v>176</v>
      </c>
      <c r="P175" s="1" t="s">
        <v>424</v>
      </c>
      <c r="Q175" s="1">
        <v>100</v>
      </c>
      <c r="R175" s="1">
        <v>460</v>
      </c>
      <c r="S175" s="1">
        <v>3</v>
      </c>
      <c r="T175" s="1"/>
      <c r="U175" s="1"/>
    </row>
    <row r="176" spans="1:21" s="4" customFormat="1" ht="31.2" x14ac:dyDescent="0.3">
      <c r="A176" s="17">
        <v>174</v>
      </c>
      <c r="B176" s="20" t="s">
        <v>785</v>
      </c>
      <c r="C176" s="22" t="s">
        <v>456</v>
      </c>
      <c r="D176" s="20" t="s">
        <v>30</v>
      </c>
      <c r="E176" s="1" t="s">
        <v>427</v>
      </c>
      <c r="F176" s="1">
        <v>1</v>
      </c>
      <c r="G176" s="1">
        <v>1</v>
      </c>
      <c r="H176" s="1" t="s">
        <v>27</v>
      </c>
      <c r="I176" s="1" t="s">
        <v>30</v>
      </c>
      <c r="J176" s="1"/>
      <c r="K176" s="15">
        <v>54523</v>
      </c>
      <c r="L176" s="2" t="s">
        <v>428</v>
      </c>
      <c r="M176" s="1"/>
      <c r="N176" s="1"/>
      <c r="O176" s="1"/>
      <c r="P176" s="1"/>
      <c r="Q176" s="1" t="s">
        <v>429</v>
      </c>
      <c r="R176" s="1">
        <v>460</v>
      </c>
      <c r="S176" s="1">
        <v>3</v>
      </c>
      <c r="T176" s="1"/>
      <c r="U176" s="1"/>
    </row>
    <row r="177" spans="1:21" s="4" customFormat="1" x14ac:dyDescent="0.3">
      <c r="A177" s="17">
        <v>175</v>
      </c>
      <c r="B177" s="20" t="s">
        <v>786</v>
      </c>
      <c r="C177" s="21" t="s">
        <v>431</v>
      </c>
      <c r="D177" s="20" t="s">
        <v>482</v>
      </c>
      <c r="E177" s="1" t="s">
        <v>416</v>
      </c>
      <c r="F177" s="1">
        <v>1</v>
      </c>
      <c r="G177" s="1">
        <v>1</v>
      </c>
      <c r="H177" s="1" t="s">
        <v>27</v>
      </c>
      <c r="I177" s="1" t="s">
        <v>158</v>
      </c>
      <c r="J177" s="1" t="s">
        <v>559</v>
      </c>
      <c r="K177" s="15">
        <v>51220</v>
      </c>
      <c r="L177" s="38" t="s">
        <v>75</v>
      </c>
      <c r="M177" s="1"/>
      <c r="N177" s="1"/>
      <c r="O177" s="1"/>
      <c r="P177" s="1"/>
      <c r="Q177" s="1"/>
      <c r="R177" s="1"/>
      <c r="S177" s="1"/>
      <c r="T177" s="1"/>
      <c r="U177" s="1"/>
    </row>
    <row r="178" spans="1:21" s="10" customFormat="1" x14ac:dyDescent="0.3">
      <c r="A178" s="34">
        <v>175</v>
      </c>
      <c r="B178" s="53" t="s">
        <v>787</v>
      </c>
      <c r="C178" s="54" t="s">
        <v>628</v>
      </c>
      <c r="D178" s="57" t="s">
        <v>631</v>
      </c>
      <c r="E178" s="35" t="s">
        <v>629</v>
      </c>
      <c r="F178" s="35">
        <v>1</v>
      </c>
      <c r="G178" s="35">
        <v>1</v>
      </c>
      <c r="H178" s="35" t="s">
        <v>27</v>
      </c>
      <c r="I178" s="35" t="s">
        <v>477</v>
      </c>
      <c r="J178" s="35" t="s">
        <v>630</v>
      </c>
      <c r="K178" s="37">
        <v>56774</v>
      </c>
      <c r="L178" s="58" t="s">
        <v>633</v>
      </c>
      <c r="M178" s="35"/>
      <c r="N178" s="35"/>
      <c r="O178" s="35"/>
      <c r="P178" s="35"/>
      <c r="Q178" s="35"/>
      <c r="R178" s="35"/>
      <c r="S178" s="35"/>
      <c r="T178" s="35"/>
      <c r="U178" s="35"/>
    </row>
    <row r="179" spans="1:21" s="4" customFormat="1" x14ac:dyDescent="0.3">
      <c r="A179" s="17">
        <v>176</v>
      </c>
      <c r="B179" s="20" t="s">
        <v>788</v>
      </c>
      <c r="C179" s="47" t="s">
        <v>432</v>
      </c>
      <c r="D179" s="20" t="s">
        <v>30</v>
      </c>
      <c r="E179" s="1" t="s">
        <v>404</v>
      </c>
      <c r="F179" s="1">
        <v>1</v>
      </c>
      <c r="G179" s="1">
        <v>1</v>
      </c>
      <c r="H179" s="1" t="s">
        <v>27</v>
      </c>
      <c r="I179" s="1" t="s">
        <v>74</v>
      </c>
      <c r="J179" s="1" t="s">
        <v>553</v>
      </c>
      <c r="K179" s="15">
        <v>51580</v>
      </c>
      <c r="L179" s="38" t="s">
        <v>203</v>
      </c>
      <c r="M179" s="1"/>
      <c r="N179" s="1"/>
      <c r="O179" s="1"/>
      <c r="P179" s="1"/>
      <c r="Q179" s="1" t="s">
        <v>23</v>
      </c>
      <c r="R179" s="1" t="s">
        <v>23</v>
      </c>
      <c r="S179" s="1" t="s">
        <v>23</v>
      </c>
      <c r="T179" s="1"/>
      <c r="U179" s="1"/>
    </row>
    <row r="180" spans="1:21" s="51" customFormat="1" ht="31.2" x14ac:dyDescent="0.3">
      <c r="A180" s="17">
        <v>177</v>
      </c>
      <c r="B180" s="20" t="s">
        <v>789</v>
      </c>
      <c r="C180" s="21" t="s">
        <v>104</v>
      </c>
      <c r="D180" s="20" t="s">
        <v>25</v>
      </c>
      <c r="E180" s="1" t="s">
        <v>26</v>
      </c>
      <c r="F180" s="1">
        <v>4</v>
      </c>
      <c r="G180" s="1">
        <v>4</v>
      </c>
      <c r="H180" s="1" t="s">
        <v>27</v>
      </c>
      <c r="I180" s="1" t="s">
        <v>83</v>
      </c>
      <c r="J180" s="26" t="s">
        <v>599</v>
      </c>
      <c r="K180" s="15">
        <v>58250</v>
      </c>
      <c r="L180" s="16" t="s">
        <v>28</v>
      </c>
      <c r="M180" s="1"/>
      <c r="N180" s="1"/>
      <c r="O180" s="1"/>
      <c r="P180" s="1"/>
      <c r="Q180" s="1" t="s">
        <v>23</v>
      </c>
      <c r="R180" s="1" t="s">
        <v>23</v>
      </c>
      <c r="S180" s="1" t="s">
        <v>23</v>
      </c>
      <c r="T180" s="1"/>
      <c r="U180" s="1"/>
    </row>
    <row r="181" spans="1:21" s="4" customFormat="1" ht="31.2" x14ac:dyDescent="0.3">
      <c r="A181" s="17">
        <v>178</v>
      </c>
      <c r="B181" s="20" t="s">
        <v>790</v>
      </c>
      <c r="C181" s="21" t="s">
        <v>433</v>
      </c>
      <c r="D181" s="20" t="s">
        <v>434</v>
      </c>
      <c r="E181" s="1" t="s">
        <v>435</v>
      </c>
      <c r="F181" s="1">
        <v>2</v>
      </c>
      <c r="G181" s="1" t="s">
        <v>46</v>
      </c>
      <c r="H181" s="1" t="s">
        <v>27</v>
      </c>
      <c r="I181" s="1" t="s">
        <v>436</v>
      </c>
      <c r="J181" s="1" t="s">
        <v>554</v>
      </c>
      <c r="K181" s="15">
        <v>54168</v>
      </c>
      <c r="L181" s="30" t="s">
        <v>130</v>
      </c>
      <c r="M181" s="1"/>
      <c r="N181" s="1"/>
      <c r="O181" s="1"/>
      <c r="P181" s="1"/>
      <c r="Q181" s="1" t="s">
        <v>23</v>
      </c>
      <c r="R181" s="1" t="s">
        <v>23</v>
      </c>
      <c r="S181" s="1" t="s">
        <v>23</v>
      </c>
      <c r="T181" s="1"/>
      <c r="U181" s="1"/>
    </row>
    <row r="182" spans="1:21" s="4" customFormat="1" ht="31.2" x14ac:dyDescent="0.3">
      <c r="A182" s="17">
        <v>179</v>
      </c>
      <c r="B182" s="20" t="s">
        <v>791</v>
      </c>
      <c r="C182" s="20" t="s">
        <v>438</v>
      </c>
      <c r="D182" s="20" t="s">
        <v>434</v>
      </c>
      <c r="E182" s="1" t="s">
        <v>435</v>
      </c>
      <c r="F182" s="1">
        <v>2</v>
      </c>
      <c r="G182" s="1" t="s">
        <v>46</v>
      </c>
      <c r="H182" s="1" t="s">
        <v>27</v>
      </c>
      <c r="I182" s="1" t="s">
        <v>436</v>
      </c>
      <c r="J182" s="1" t="s">
        <v>558</v>
      </c>
      <c r="K182" s="15">
        <v>54168</v>
      </c>
      <c r="L182" s="41" t="s">
        <v>130</v>
      </c>
      <c r="M182" s="1" t="s">
        <v>437</v>
      </c>
      <c r="N182" s="1"/>
      <c r="O182" s="1"/>
      <c r="P182" s="1"/>
      <c r="Q182" s="1">
        <v>75</v>
      </c>
      <c r="R182" s="1">
        <v>460</v>
      </c>
      <c r="S182" s="1">
        <v>3</v>
      </c>
      <c r="T182" s="1"/>
      <c r="U182" s="1"/>
    </row>
    <row r="183" spans="1:21" s="4" customFormat="1" ht="31.2" x14ac:dyDescent="0.3">
      <c r="A183" s="17">
        <v>180</v>
      </c>
      <c r="B183" s="20" t="s">
        <v>792</v>
      </c>
      <c r="C183" s="21" t="s">
        <v>439</v>
      </c>
      <c r="D183" s="20" t="s">
        <v>434</v>
      </c>
      <c r="E183" s="1" t="s">
        <v>440</v>
      </c>
      <c r="F183" s="1">
        <v>2</v>
      </c>
      <c r="G183" s="1" t="s">
        <v>46</v>
      </c>
      <c r="H183" s="1" t="s">
        <v>27</v>
      </c>
      <c r="I183" s="1" t="s">
        <v>436</v>
      </c>
      <c r="J183" s="1" t="s">
        <v>542</v>
      </c>
      <c r="K183" s="15">
        <v>54168</v>
      </c>
      <c r="L183" s="41" t="s">
        <v>130</v>
      </c>
      <c r="M183" s="1"/>
      <c r="N183" s="1"/>
      <c r="O183" s="1"/>
      <c r="P183" s="1"/>
      <c r="Q183" s="1">
        <v>40</v>
      </c>
      <c r="R183" s="1" t="s">
        <v>21</v>
      </c>
      <c r="S183" s="1">
        <v>60</v>
      </c>
      <c r="T183" s="1"/>
      <c r="U183" s="1"/>
    </row>
    <row r="184" spans="1:21" s="4" customFormat="1" ht="31.2" x14ac:dyDescent="0.3">
      <c r="A184" s="17">
        <v>181</v>
      </c>
      <c r="B184" s="20" t="s">
        <v>793</v>
      </c>
      <c r="C184" s="21" t="s">
        <v>442</v>
      </c>
      <c r="D184" s="20" t="s">
        <v>434</v>
      </c>
      <c r="E184" s="1" t="s">
        <v>443</v>
      </c>
      <c r="F184" s="1">
        <v>1</v>
      </c>
      <c r="G184" s="1">
        <v>1</v>
      </c>
      <c r="H184" s="1" t="s">
        <v>27</v>
      </c>
      <c r="I184" s="1" t="s">
        <v>436</v>
      </c>
      <c r="J184" s="1" t="s">
        <v>542</v>
      </c>
      <c r="K184" s="15">
        <v>54168</v>
      </c>
      <c r="L184" s="41" t="s">
        <v>130</v>
      </c>
      <c r="M184" s="1" t="s">
        <v>441</v>
      </c>
      <c r="N184" s="1"/>
      <c r="O184" s="1">
        <v>50</v>
      </c>
      <c r="P184" s="1">
        <v>10</v>
      </c>
      <c r="Q184" s="1">
        <v>15</v>
      </c>
      <c r="R184" s="1">
        <v>460</v>
      </c>
      <c r="S184" s="1">
        <v>3</v>
      </c>
      <c r="T184" s="1"/>
      <c r="U184" s="1"/>
    </row>
    <row r="185" spans="1:21" s="4" customFormat="1" ht="31.2" x14ac:dyDescent="0.3">
      <c r="A185" s="17">
        <v>182</v>
      </c>
      <c r="B185" s="20" t="s">
        <v>794</v>
      </c>
      <c r="C185" s="21" t="s">
        <v>444</v>
      </c>
      <c r="D185" s="20" t="s">
        <v>484</v>
      </c>
      <c r="E185" s="1" t="s">
        <v>435</v>
      </c>
      <c r="F185" s="1">
        <v>2</v>
      </c>
      <c r="G185" s="1">
        <v>2</v>
      </c>
      <c r="H185" s="1" t="s">
        <v>27</v>
      </c>
      <c r="I185" s="1" t="s">
        <v>74</v>
      </c>
      <c r="J185" s="1" t="s">
        <v>556</v>
      </c>
      <c r="K185" s="15">
        <v>51220</v>
      </c>
      <c r="L185" s="38" t="s">
        <v>75</v>
      </c>
      <c r="M185" s="1"/>
      <c r="N185" s="1"/>
      <c r="O185" s="1"/>
      <c r="P185" s="1"/>
      <c r="Q185" s="1"/>
      <c r="R185" s="1"/>
      <c r="S185" s="1"/>
      <c r="T185" s="1"/>
      <c r="U185" s="1"/>
    </row>
    <row r="186" spans="1:21" s="4" customFormat="1" x14ac:dyDescent="0.3">
      <c r="A186" s="17">
        <v>183</v>
      </c>
      <c r="B186" s="20" t="s">
        <v>795</v>
      </c>
      <c r="C186" s="21" t="s">
        <v>445</v>
      </c>
      <c r="D186" s="20" t="s">
        <v>485</v>
      </c>
      <c r="E186" s="1" t="s">
        <v>446</v>
      </c>
      <c r="F186" s="1">
        <v>1</v>
      </c>
      <c r="G186" s="1">
        <v>1</v>
      </c>
      <c r="H186" s="1" t="s">
        <v>27</v>
      </c>
      <c r="I186" s="1" t="s">
        <v>74</v>
      </c>
      <c r="J186" s="1" t="s">
        <v>555</v>
      </c>
      <c r="K186" s="15">
        <v>51220</v>
      </c>
      <c r="L186" s="38" t="s">
        <v>75</v>
      </c>
      <c r="M186" s="1"/>
      <c r="N186" s="1"/>
      <c r="O186" s="1"/>
      <c r="P186" s="1"/>
      <c r="Q186" s="1" t="s">
        <v>23</v>
      </c>
      <c r="R186" s="1" t="s">
        <v>23</v>
      </c>
      <c r="S186" s="1" t="s">
        <v>23</v>
      </c>
      <c r="T186" s="1"/>
      <c r="U186" s="1"/>
    </row>
    <row r="187" spans="1:21" s="4" customFormat="1" ht="47.4" thickBot="1" x14ac:dyDescent="0.35">
      <c r="A187" s="59">
        <v>185</v>
      </c>
      <c r="B187" s="61" t="s">
        <v>796</v>
      </c>
      <c r="C187" s="62" t="s">
        <v>447</v>
      </c>
      <c r="D187" s="61" t="s">
        <v>448</v>
      </c>
      <c r="E187" s="60" t="s">
        <v>443</v>
      </c>
      <c r="F187" s="60">
        <v>2</v>
      </c>
      <c r="G187" s="60">
        <v>2</v>
      </c>
      <c r="H187" s="60" t="s">
        <v>27</v>
      </c>
      <c r="I187" s="60" t="s">
        <v>459</v>
      </c>
      <c r="J187" s="60" t="s">
        <v>557</v>
      </c>
      <c r="K187" s="15">
        <v>55463</v>
      </c>
      <c r="L187" s="38" t="s">
        <v>91</v>
      </c>
      <c r="M187" s="1"/>
      <c r="N187" s="1"/>
      <c r="O187" s="1"/>
      <c r="P187" s="1"/>
      <c r="Q187" s="1" t="s">
        <v>23</v>
      </c>
      <c r="R187" s="1" t="s">
        <v>23</v>
      </c>
      <c r="S187" s="1" t="s">
        <v>23</v>
      </c>
      <c r="T187" s="1"/>
      <c r="U187" s="1"/>
    </row>
    <row r="188" spans="1:21" s="10" customFormat="1" ht="16.2" thickBot="1" x14ac:dyDescent="0.35">
      <c r="A188" s="63"/>
      <c r="B188" s="65"/>
      <c r="C188" s="66"/>
      <c r="D188" s="65"/>
      <c r="E188" s="64"/>
      <c r="F188" s="64"/>
      <c r="G188" s="64"/>
      <c r="H188" s="64"/>
      <c r="I188" s="64" t="s">
        <v>30</v>
      </c>
      <c r="J188" s="64"/>
      <c r="K188" s="67"/>
      <c r="L188" s="68"/>
      <c r="M188" s="60"/>
      <c r="N188" s="60"/>
      <c r="O188" s="60"/>
      <c r="P188" s="60"/>
      <c r="Q188" s="60"/>
      <c r="R188" s="60"/>
      <c r="S188" s="60"/>
      <c r="T188" s="60"/>
      <c r="U188" s="60"/>
    </row>
    <row r="190" spans="1:21" s="4" customFormat="1" ht="16.2" thickBot="1" x14ac:dyDescent="0.35">
      <c r="A190" s="63"/>
      <c r="B190" s="5"/>
      <c r="C190" s="66"/>
      <c r="D190" s="65"/>
      <c r="E190" s="64"/>
      <c r="F190" s="64"/>
      <c r="G190" s="64"/>
      <c r="H190" s="64"/>
      <c r="I190" s="64"/>
      <c r="J190" s="70"/>
      <c r="K190" s="71"/>
      <c r="L190" s="72"/>
      <c r="M190" s="64"/>
      <c r="N190" s="64"/>
      <c r="O190" s="64"/>
      <c r="P190" s="64"/>
      <c r="Q190" s="64"/>
      <c r="R190" s="64"/>
      <c r="S190" s="64"/>
      <c r="T190" s="64"/>
      <c r="U190" s="64"/>
    </row>
    <row r="191" spans="1:21" s="4" customFormat="1" ht="16.2" thickBot="1" x14ac:dyDescent="0.35">
      <c r="A191" s="63"/>
      <c r="B191" s="73"/>
      <c r="C191" s="66"/>
      <c r="D191" s="65"/>
      <c r="E191" s="64"/>
      <c r="F191" s="64"/>
      <c r="G191" s="64"/>
      <c r="H191" s="64"/>
      <c r="I191" s="64"/>
      <c r="J191" s="70"/>
      <c r="K191" s="74"/>
      <c r="L191" s="68"/>
      <c r="M191" s="64"/>
      <c r="N191" s="64"/>
      <c r="O191" s="64"/>
      <c r="P191" s="64"/>
      <c r="Q191" s="69"/>
      <c r="R191" s="75"/>
      <c r="S191" s="75"/>
      <c r="T191" s="64"/>
      <c r="U191" s="64"/>
    </row>
    <row r="192" spans="1:21" s="4" customFormat="1" x14ac:dyDescent="0.3">
      <c r="A192" s="17"/>
      <c r="B192" s="20"/>
      <c r="C192" s="21"/>
      <c r="D192" s="20"/>
      <c r="E192" s="1"/>
      <c r="F192" s="1"/>
      <c r="G192" s="1"/>
      <c r="H192" s="1"/>
      <c r="I192" s="1"/>
      <c r="J192" s="76"/>
      <c r="K192" s="1"/>
      <c r="L192" s="77"/>
      <c r="M192" s="1"/>
      <c r="N192" s="1"/>
      <c r="O192" s="1"/>
      <c r="P192" s="1"/>
      <c r="Q192" s="1"/>
      <c r="R192" s="1"/>
      <c r="S192" s="1"/>
      <c r="T192" s="1"/>
      <c r="U192" s="49"/>
    </row>
    <row r="204" spans="4:4" x14ac:dyDescent="0.3">
      <c r="D204" s="79" t="s">
        <v>449</v>
      </c>
    </row>
    <row r="209" spans="11:12" x14ac:dyDescent="0.3">
      <c r="K209" s="49"/>
      <c r="L209" s="2"/>
    </row>
  </sheetData>
  <autoFilter ref="A1:U188" xr:uid="{45066A4A-9C5B-4BA3-910B-B1ADD612E555}"/>
  <sortState xmlns:xlrd2="http://schemas.microsoft.com/office/spreadsheetml/2017/richdata2" ref="A2:U210">
    <sortCondition ref="B2:B210"/>
    <sortCondition ref="E2:E210"/>
  </sortState>
  <pageMargins left="0.2" right="0.2" top="0.25" bottom="0.5" header="0.3" footer="0.3"/>
  <pageSetup paperSize="3" scale="36" fitToHeight="0" orientation="landscape" r:id="rId1"/>
  <headerFooter differentFirst="1">
    <oddFooter>&amp;CCONFIDENTIAL&amp;R&amp;10Page &amp;P of &amp;N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72DB83003C2348ABEBCF6FF4659CEF" ma:contentTypeVersion="18" ma:contentTypeDescription="Create a new document." ma:contentTypeScope="" ma:versionID="5b7774d013444b8501c2513b03455b4d">
  <xsd:schema xmlns:xsd="http://www.w3.org/2001/XMLSchema" xmlns:xs="http://www.w3.org/2001/XMLSchema" xmlns:p="http://schemas.microsoft.com/office/2006/metadata/properties" xmlns:ns2="527f09ed-61c5-4441-a722-60ed97912168" xmlns:ns3="9a8bc9a9-62bd-49ac-a735-ab436819e17b" xmlns:ns4="ceb0f8ee-df67-4c72-9538-efcd0e692568" targetNamespace="http://schemas.microsoft.com/office/2006/metadata/properties" ma:root="true" ma:fieldsID="2b94157899a5ece3dbb8938908a155ec" ns2:_="" ns3:_="" ns4:_="">
    <xsd:import namespace="527f09ed-61c5-4441-a722-60ed97912168"/>
    <xsd:import namespace="9a8bc9a9-62bd-49ac-a735-ab436819e17b"/>
    <xsd:import namespace="ceb0f8ee-df67-4c72-9538-efcd0e6925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7f09ed-61c5-4441-a722-60ed979121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d36862f-fc6f-43c4-8373-9f287df5c1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8bc9a9-62bd-49ac-a735-ab436819e17b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86b8968e-40a0-49aa-aee0-5c51063ff732}" ma:internalName="TaxCatchAll" ma:showField="CatchAllData" ma:web="9a8bc9a9-62bd-49ac-a735-ab436819e1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b0f8ee-df67-4c72-9538-efcd0e692568" elementFormDefault="qualified">
    <xsd:import namespace="http://schemas.microsoft.com/office/2006/documentManagement/types"/>
    <xsd:import namespace="http://schemas.microsoft.com/office/infopath/2007/PartnerControls"/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a8bc9a9-62bd-49ac-a735-ab436819e17b" xsi:nil="true"/>
    <lcf76f155ced4ddcb4097134ff3c332f xmlns="527f09ed-61c5-4441-a722-60ed9791216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C86A55-D35F-4A84-B062-341A099AA7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7f09ed-61c5-4441-a722-60ed97912168"/>
    <ds:schemaRef ds:uri="9a8bc9a9-62bd-49ac-a735-ab436819e17b"/>
    <ds:schemaRef ds:uri="ceb0f8ee-df67-4c72-9538-efcd0e6925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08C5E3E-0BB1-4FEB-890C-F2DB1195D8A6}">
  <ds:schemaRefs>
    <ds:schemaRef ds:uri="http://schemas.microsoft.com/office/2006/metadata/properties"/>
    <ds:schemaRef ds:uri="527f09ed-61c5-4441-a722-60ed97912168"/>
    <ds:schemaRef ds:uri="http://purl.org/dc/terms/"/>
    <ds:schemaRef ds:uri="ceb0f8ee-df67-4c72-9538-efcd0e692568"/>
    <ds:schemaRef ds:uri="http://schemas.openxmlformats.org/package/2006/metadata/core-properties"/>
    <ds:schemaRef ds:uri="http://schemas.microsoft.com/office/2006/documentManagement/types"/>
    <ds:schemaRef ds:uri="9a8bc9a9-62bd-49ac-a735-ab436819e17b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7BD7F46-3AB4-4F4D-BC78-213E2AA404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EQUIPMENT LIST</vt:lpstr>
      <vt:lpstr>'EQUIPMENT LIST'!Print_Area</vt:lpstr>
      <vt:lpstr>'EQUIPMENT LIST'!Print_Titles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Kelvin Roberto</dc:creator>
  <cp:keywords/>
  <dc:description/>
  <cp:lastModifiedBy>Nathan Porter</cp:lastModifiedBy>
  <cp:revision/>
  <cp:lastPrinted>2025-02-20T13:05:00Z</cp:lastPrinted>
  <dcterms:created xsi:type="dcterms:W3CDTF">2019-05-01T18:34:27Z</dcterms:created>
  <dcterms:modified xsi:type="dcterms:W3CDTF">2025-12-11T20:27:01Z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0x0101004772DB83003C2348ABEBCF6FF4659CEF</vt:lpwstr>
  </property>
  <property fmtid="{D5CDD505-2E9C-101B-9397-08002B2CF9AE}" pid="3" name="MediaServiceImageTags">
    <vt:lpwstr/>
  </property>
</Properties>
</file>